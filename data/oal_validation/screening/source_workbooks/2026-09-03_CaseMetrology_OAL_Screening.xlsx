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im\Downloads\"/>
    </mc:Choice>
  </mc:AlternateContent>
  <xr:revisionPtr revIDLastSave="0" documentId="13_ncr:1_{10B82755-834C-4A59-B383-E167054F9A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art" sheetId="1" r:id="rId1"/>
    <sheet name="Screening" sheetId="2" r:id="rId2"/>
    <sheet name="Sess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2" i="2" l="1"/>
  <c r="E221" i="2"/>
  <c r="E2" i="2"/>
  <c r="U21" i="3"/>
  <c r="T21" i="3"/>
  <c r="C44" i="1" s="1"/>
  <c r="N21" i="3"/>
  <c r="M21" i="3"/>
  <c r="B44" i="1" s="1"/>
  <c r="D44" i="1" s="1"/>
  <c r="G21" i="3"/>
  <c r="F21" i="3"/>
  <c r="E21" i="3"/>
  <c r="U20" i="3"/>
  <c r="T20" i="3"/>
  <c r="C43" i="1" s="1"/>
  <c r="N20" i="3"/>
  <c r="M20" i="3"/>
  <c r="B43" i="1" s="1"/>
  <c r="D43" i="1" s="1"/>
  <c r="G20" i="3"/>
  <c r="F20" i="3"/>
  <c r="E20" i="3"/>
  <c r="U19" i="3"/>
  <c r="T19" i="3"/>
  <c r="C42" i="1" s="1"/>
  <c r="N19" i="3"/>
  <c r="M19" i="3"/>
  <c r="B42" i="1" s="1"/>
  <c r="D42" i="1" s="1"/>
  <c r="G19" i="3"/>
  <c r="F19" i="3"/>
  <c r="E19" i="3"/>
  <c r="U18" i="3"/>
  <c r="T18" i="3"/>
  <c r="C41" i="1" s="1"/>
  <c r="N18" i="3"/>
  <c r="M18" i="3"/>
  <c r="B41" i="1" s="1"/>
  <c r="D41" i="1" s="1"/>
  <c r="G18" i="3"/>
  <c r="F18" i="3"/>
  <c r="E18" i="3"/>
  <c r="U17" i="3"/>
  <c r="T17" i="3"/>
  <c r="C40" i="1" s="1"/>
  <c r="N17" i="3"/>
  <c r="M17" i="3"/>
  <c r="B40" i="1" s="1"/>
  <c r="D40" i="1" s="1"/>
  <c r="G17" i="3"/>
  <c r="F17" i="3"/>
  <c r="E17" i="3"/>
  <c r="U16" i="3"/>
  <c r="T16" i="3"/>
  <c r="C39" i="1" s="1"/>
  <c r="N16" i="3"/>
  <c r="M16" i="3"/>
  <c r="B39" i="1" s="1"/>
  <c r="D39" i="1" s="1"/>
  <c r="G16" i="3"/>
  <c r="F16" i="3"/>
  <c r="E16" i="3"/>
  <c r="U15" i="3"/>
  <c r="T15" i="3"/>
  <c r="C38" i="1" s="1"/>
  <c r="N15" i="3"/>
  <c r="M15" i="3"/>
  <c r="B38" i="1" s="1"/>
  <c r="D38" i="1" s="1"/>
  <c r="G15" i="3"/>
  <c r="F15" i="3"/>
  <c r="E15" i="3"/>
  <c r="U14" i="3"/>
  <c r="T14" i="3"/>
  <c r="C37" i="1" s="1"/>
  <c r="N14" i="3"/>
  <c r="M14" i="3"/>
  <c r="B37" i="1" s="1"/>
  <c r="D37" i="1" s="1"/>
  <c r="G14" i="3"/>
  <c r="F14" i="3"/>
  <c r="E14" i="3"/>
  <c r="U13" i="3"/>
  <c r="T13" i="3"/>
  <c r="C36" i="1" s="1"/>
  <c r="N13" i="3"/>
  <c r="M13" i="3"/>
  <c r="B36" i="1" s="1"/>
  <c r="D36" i="1" s="1"/>
  <c r="G13" i="3"/>
  <c r="F13" i="3"/>
  <c r="E13" i="3"/>
  <c r="U12" i="3"/>
  <c r="T12" i="3"/>
  <c r="C35" i="1" s="1"/>
  <c r="N12" i="3"/>
  <c r="M12" i="3"/>
  <c r="B35" i="1" s="1"/>
  <c r="D35" i="1" s="1"/>
  <c r="G12" i="3"/>
  <c r="F12" i="3"/>
  <c r="E12" i="3"/>
  <c r="U11" i="3"/>
  <c r="T11" i="3"/>
  <c r="C34" i="1" s="1"/>
  <c r="N11" i="3"/>
  <c r="M11" i="3"/>
  <c r="B34" i="1" s="1"/>
  <c r="D34" i="1" s="1"/>
  <c r="G11" i="3"/>
  <c r="F11" i="3"/>
  <c r="E11" i="3"/>
  <c r="U10" i="3"/>
  <c r="T10" i="3"/>
  <c r="C33" i="1" s="1"/>
  <c r="N10" i="3"/>
  <c r="M10" i="3"/>
  <c r="B33" i="1" s="1"/>
  <c r="D33" i="1" s="1"/>
  <c r="G10" i="3"/>
  <c r="F10" i="3"/>
  <c r="E10" i="3"/>
  <c r="U9" i="3"/>
  <c r="T9" i="3"/>
  <c r="C32" i="1" s="1"/>
  <c r="N9" i="3"/>
  <c r="M9" i="3"/>
  <c r="B32" i="1" s="1"/>
  <c r="D32" i="1" s="1"/>
  <c r="G9" i="3"/>
  <c r="F9" i="3"/>
  <c r="E9" i="3"/>
  <c r="U8" i="3"/>
  <c r="T8" i="3"/>
  <c r="C31" i="1" s="1"/>
  <c r="N8" i="3"/>
  <c r="M8" i="3"/>
  <c r="B31" i="1" s="1"/>
  <c r="D31" i="1" s="1"/>
  <c r="G8" i="3"/>
  <c r="F8" i="3"/>
  <c r="E8" i="3"/>
  <c r="U7" i="3"/>
  <c r="T7" i="3"/>
  <c r="C30" i="1" s="1"/>
  <c r="N7" i="3"/>
  <c r="M7" i="3"/>
  <c r="B30" i="1" s="1"/>
  <c r="D30" i="1" s="1"/>
  <c r="G7" i="3"/>
  <c r="F7" i="3"/>
  <c r="E7" i="3"/>
  <c r="U6" i="3"/>
  <c r="T6" i="3"/>
  <c r="C29" i="1" s="1"/>
  <c r="N6" i="3"/>
  <c r="M6" i="3"/>
  <c r="B29" i="1" s="1"/>
  <c r="D29" i="1" s="1"/>
  <c r="G6" i="3"/>
  <c r="F6" i="3"/>
  <c r="E6" i="3"/>
  <c r="U5" i="3"/>
  <c r="T5" i="3"/>
  <c r="C28" i="1" s="1"/>
  <c r="N5" i="3"/>
  <c r="M5" i="3"/>
  <c r="B28" i="1" s="1"/>
  <c r="D28" i="1" s="1"/>
  <c r="G5" i="3"/>
  <c r="F5" i="3"/>
  <c r="E5" i="3"/>
  <c r="U4" i="3"/>
  <c r="T4" i="3"/>
  <c r="C27" i="1" s="1"/>
  <c r="N4" i="3"/>
  <c r="M4" i="3"/>
  <c r="B27" i="1" s="1"/>
  <c r="G4" i="3"/>
  <c r="F4" i="3"/>
  <c r="E4" i="3"/>
  <c r="U3" i="3"/>
  <c r="T3" i="3"/>
  <c r="C26" i="1" s="1"/>
  <c r="N3" i="3"/>
  <c r="M3" i="3"/>
  <c r="B26" i="1" s="1"/>
  <c r="G3" i="3"/>
  <c r="F3" i="3"/>
  <c r="E3" i="3"/>
  <c r="U2" i="3"/>
  <c r="T2" i="3"/>
  <c r="N2" i="3"/>
  <c r="M2" i="3"/>
  <c r="B25" i="1" s="1"/>
  <c r="G2" i="3"/>
  <c r="F2" i="3"/>
  <c r="E2" i="3"/>
  <c r="J236" i="2"/>
  <c r="G236" i="2"/>
  <c r="E236" i="2"/>
  <c r="J235" i="2"/>
  <c r="G235" i="2"/>
  <c r="E235" i="2"/>
  <c r="J234" i="2"/>
  <c r="G234" i="2"/>
  <c r="E234" i="2"/>
  <c r="J233" i="2"/>
  <c r="G233" i="2"/>
  <c r="E233" i="2"/>
  <c r="J232" i="2"/>
  <c r="G232" i="2"/>
  <c r="E232" i="2"/>
  <c r="J231" i="2"/>
  <c r="G231" i="2"/>
  <c r="E231" i="2"/>
  <c r="J230" i="2"/>
  <c r="G230" i="2"/>
  <c r="E230" i="2"/>
  <c r="J229" i="2"/>
  <c r="G229" i="2"/>
  <c r="E229" i="2"/>
  <c r="J228" i="2"/>
  <c r="G228" i="2"/>
  <c r="E228" i="2"/>
  <c r="J227" i="2"/>
  <c r="G227" i="2"/>
  <c r="E227" i="2"/>
  <c r="J226" i="2"/>
  <c r="G226" i="2"/>
  <c r="E226" i="2"/>
  <c r="J225" i="2"/>
  <c r="G225" i="2"/>
  <c r="E225" i="2"/>
  <c r="J224" i="2"/>
  <c r="G224" i="2"/>
  <c r="E224" i="2"/>
  <c r="J223" i="2"/>
  <c r="G223" i="2"/>
  <c r="E223" i="2"/>
  <c r="J222" i="2"/>
  <c r="G222" i="2"/>
  <c r="J221" i="2"/>
  <c r="G221" i="2"/>
  <c r="J220" i="2"/>
  <c r="G220" i="2"/>
  <c r="E220" i="2"/>
  <c r="J219" i="2"/>
  <c r="G219" i="2"/>
  <c r="E219" i="2"/>
  <c r="J218" i="2"/>
  <c r="G218" i="2"/>
  <c r="E218" i="2"/>
  <c r="J217" i="2"/>
  <c r="G217" i="2"/>
  <c r="E217" i="2"/>
  <c r="J216" i="2"/>
  <c r="G216" i="2"/>
  <c r="E216" i="2"/>
  <c r="J215" i="2"/>
  <c r="G215" i="2"/>
  <c r="E215" i="2"/>
  <c r="J214" i="2"/>
  <c r="G214" i="2"/>
  <c r="E214" i="2"/>
  <c r="J213" i="2"/>
  <c r="G213" i="2"/>
  <c r="E213" i="2"/>
  <c r="J212" i="2"/>
  <c r="G212" i="2"/>
  <c r="E212" i="2"/>
  <c r="J211" i="2"/>
  <c r="G211" i="2"/>
  <c r="E211" i="2"/>
  <c r="J210" i="2"/>
  <c r="G210" i="2"/>
  <c r="E210" i="2"/>
  <c r="J209" i="2"/>
  <c r="G209" i="2"/>
  <c r="E209" i="2"/>
  <c r="J208" i="2"/>
  <c r="G208" i="2"/>
  <c r="E208" i="2"/>
  <c r="J207" i="2"/>
  <c r="G207" i="2"/>
  <c r="E207" i="2"/>
  <c r="J206" i="2"/>
  <c r="G206" i="2"/>
  <c r="E206" i="2"/>
  <c r="J205" i="2"/>
  <c r="G205" i="2"/>
  <c r="E205" i="2"/>
  <c r="J204" i="2"/>
  <c r="G204" i="2"/>
  <c r="E204" i="2"/>
  <c r="J203" i="2"/>
  <c r="G203" i="2"/>
  <c r="E203" i="2"/>
  <c r="J202" i="2"/>
  <c r="G202" i="2"/>
  <c r="E202" i="2"/>
  <c r="J201" i="2"/>
  <c r="G201" i="2"/>
  <c r="E201" i="2"/>
  <c r="J200" i="2"/>
  <c r="G200" i="2"/>
  <c r="E200" i="2"/>
  <c r="J199" i="2"/>
  <c r="G199" i="2"/>
  <c r="E199" i="2"/>
  <c r="J198" i="2"/>
  <c r="G198" i="2"/>
  <c r="E198" i="2"/>
  <c r="J197" i="2"/>
  <c r="G197" i="2"/>
  <c r="E197" i="2"/>
  <c r="J196" i="2"/>
  <c r="G196" i="2"/>
  <c r="E196" i="2"/>
  <c r="J195" i="2"/>
  <c r="G195" i="2"/>
  <c r="E195" i="2"/>
  <c r="J194" i="2"/>
  <c r="G194" i="2"/>
  <c r="E194" i="2"/>
  <c r="J193" i="2"/>
  <c r="G193" i="2"/>
  <c r="E193" i="2"/>
  <c r="J192" i="2"/>
  <c r="G192" i="2"/>
  <c r="E192" i="2"/>
  <c r="J191" i="2"/>
  <c r="G191" i="2"/>
  <c r="E191" i="2"/>
  <c r="J190" i="2"/>
  <c r="G190" i="2"/>
  <c r="E190" i="2"/>
  <c r="J189" i="2"/>
  <c r="G189" i="2"/>
  <c r="E189" i="2"/>
  <c r="J188" i="2"/>
  <c r="G188" i="2"/>
  <c r="E188" i="2"/>
  <c r="J187" i="2"/>
  <c r="G187" i="2"/>
  <c r="E187" i="2"/>
  <c r="J186" i="2"/>
  <c r="G186" i="2"/>
  <c r="E186" i="2"/>
  <c r="J185" i="2"/>
  <c r="G185" i="2"/>
  <c r="E185" i="2"/>
  <c r="J184" i="2"/>
  <c r="G184" i="2"/>
  <c r="E184" i="2"/>
  <c r="J183" i="2"/>
  <c r="G183" i="2"/>
  <c r="E183" i="2"/>
  <c r="J182" i="2"/>
  <c r="G182" i="2"/>
  <c r="E182" i="2"/>
  <c r="J181" i="2"/>
  <c r="G181" i="2"/>
  <c r="E181" i="2"/>
  <c r="J180" i="2"/>
  <c r="G180" i="2"/>
  <c r="E180" i="2"/>
  <c r="J179" i="2"/>
  <c r="G179" i="2"/>
  <c r="E179" i="2"/>
  <c r="J178" i="2"/>
  <c r="G178" i="2"/>
  <c r="E178" i="2"/>
  <c r="J177" i="2"/>
  <c r="G177" i="2"/>
  <c r="E177" i="2"/>
  <c r="J176" i="2"/>
  <c r="G176" i="2"/>
  <c r="E176" i="2"/>
  <c r="J175" i="2"/>
  <c r="G175" i="2"/>
  <c r="E175" i="2"/>
  <c r="J174" i="2"/>
  <c r="G174" i="2"/>
  <c r="E174" i="2"/>
  <c r="J173" i="2"/>
  <c r="G173" i="2"/>
  <c r="E173" i="2"/>
  <c r="J172" i="2"/>
  <c r="G172" i="2"/>
  <c r="E172" i="2"/>
  <c r="J171" i="2"/>
  <c r="G171" i="2"/>
  <c r="E171" i="2"/>
  <c r="J170" i="2"/>
  <c r="G170" i="2"/>
  <c r="E170" i="2"/>
  <c r="J169" i="2"/>
  <c r="G169" i="2"/>
  <c r="E169" i="2"/>
  <c r="J168" i="2"/>
  <c r="G168" i="2"/>
  <c r="E168" i="2"/>
  <c r="J167" i="2"/>
  <c r="G167" i="2"/>
  <c r="E167" i="2"/>
  <c r="J166" i="2"/>
  <c r="G166" i="2"/>
  <c r="E166" i="2"/>
  <c r="J165" i="2"/>
  <c r="G165" i="2"/>
  <c r="E165" i="2"/>
  <c r="J164" i="2"/>
  <c r="G164" i="2"/>
  <c r="E164" i="2"/>
  <c r="J163" i="2"/>
  <c r="G163" i="2"/>
  <c r="E163" i="2"/>
  <c r="J162" i="2"/>
  <c r="G162" i="2"/>
  <c r="E162" i="2"/>
  <c r="J161" i="2"/>
  <c r="G161" i="2"/>
  <c r="E161" i="2"/>
  <c r="J160" i="2"/>
  <c r="G160" i="2"/>
  <c r="E160" i="2"/>
  <c r="J159" i="2"/>
  <c r="G159" i="2"/>
  <c r="E159" i="2"/>
  <c r="J158" i="2"/>
  <c r="G158" i="2"/>
  <c r="E158" i="2"/>
  <c r="J157" i="2"/>
  <c r="G157" i="2"/>
  <c r="E157" i="2"/>
  <c r="J156" i="2"/>
  <c r="G156" i="2"/>
  <c r="E156" i="2"/>
  <c r="J155" i="2"/>
  <c r="G155" i="2"/>
  <c r="E155" i="2"/>
  <c r="J154" i="2"/>
  <c r="G154" i="2"/>
  <c r="E154" i="2"/>
  <c r="J153" i="2"/>
  <c r="G153" i="2"/>
  <c r="E153" i="2"/>
  <c r="J152" i="2"/>
  <c r="G152" i="2"/>
  <c r="E152" i="2"/>
  <c r="J151" i="2"/>
  <c r="G151" i="2"/>
  <c r="E151" i="2"/>
  <c r="J150" i="2"/>
  <c r="G150" i="2"/>
  <c r="E150" i="2"/>
  <c r="J149" i="2"/>
  <c r="G149" i="2"/>
  <c r="E149" i="2"/>
  <c r="J148" i="2"/>
  <c r="G148" i="2"/>
  <c r="E148" i="2"/>
  <c r="J147" i="2"/>
  <c r="G147" i="2"/>
  <c r="E147" i="2"/>
  <c r="J146" i="2"/>
  <c r="G146" i="2"/>
  <c r="E146" i="2"/>
  <c r="J145" i="2"/>
  <c r="G145" i="2"/>
  <c r="E145" i="2"/>
  <c r="J144" i="2"/>
  <c r="G144" i="2"/>
  <c r="E144" i="2"/>
  <c r="J143" i="2"/>
  <c r="G143" i="2"/>
  <c r="E143" i="2"/>
  <c r="J142" i="2"/>
  <c r="G142" i="2"/>
  <c r="E142" i="2"/>
  <c r="J141" i="2"/>
  <c r="G141" i="2"/>
  <c r="E141" i="2"/>
  <c r="J140" i="2"/>
  <c r="G140" i="2"/>
  <c r="E140" i="2"/>
  <c r="J139" i="2"/>
  <c r="G139" i="2"/>
  <c r="E139" i="2"/>
  <c r="J138" i="2"/>
  <c r="G138" i="2"/>
  <c r="E138" i="2"/>
  <c r="J137" i="2"/>
  <c r="G137" i="2"/>
  <c r="E137" i="2"/>
  <c r="J136" i="2"/>
  <c r="G136" i="2"/>
  <c r="E136" i="2"/>
  <c r="J135" i="2"/>
  <c r="G135" i="2"/>
  <c r="E135" i="2"/>
  <c r="J134" i="2"/>
  <c r="G134" i="2"/>
  <c r="E134" i="2"/>
  <c r="J133" i="2"/>
  <c r="G133" i="2"/>
  <c r="E133" i="2"/>
  <c r="J132" i="2"/>
  <c r="G132" i="2"/>
  <c r="E132" i="2"/>
  <c r="J131" i="2"/>
  <c r="G131" i="2"/>
  <c r="E131" i="2"/>
  <c r="J130" i="2"/>
  <c r="G130" i="2"/>
  <c r="E130" i="2"/>
  <c r="J129" i="2"/>
  <c r="G129" i="2"/>
  <c r="E129" i="2"/>
  <c r="J128" i="2"/>
  <c r="G128" i="2"/>
  <c r="E128" i="2"/>
  <c r="J127" i="2"/>
  <c r="G127" i="2"/>
  <c r="E127" i="2"/>
  <c r="J126" i="2"/>
  <c r="G126" i="2"/>
  <c r="E126" i="2"/>
  <c r="J125" i="2"/>
  <c r="G125" i="2"/>
  <c r="E125" i="2"/>
  <c r="J124" i="2"/>
  <c r="G124" i="2"/>
  <c r="E124" i="2"/>
  <c r="J123" i="2"/>
  <c r="G123" i="2"/>
  <c r="E123" i="2"/>
  <c r="J122" i="2"/>
  <c r="G122" i="2"/>
  <c r="E122" i="2"/>
  <c r="J121" i="2"/>
  <c r="G121" i="2"/>
  <c r="E121" i="2"/>
  <c r="J120" i="2"/>
  <c r="G120" i="2"/>
  <c r="E120" i="2"/>
  <c r="J119" i="2"/>
  <c r="G119" i="2"/>
  <c r="E119" i="2"/>
  <c r="J118" i="2"/>
  <c r="G118" i="2"/>
  <c r="E118" i="2"/>
  <c r="J117" i="2"/>
  <c r="G117" i="2"/>
  <c r="E117" i="2"/>
  <c r="J116" i="2"/>
  <c r="G116" i="2"/>
  <c r="E116" i="2"/>
  <c r="J115" i="2"/>
  <c r="G115" i="2"/>
  <c r="E115" i="2"/>
  <c r="J114" i="2"/>
  <c r="G114" i="2"/>
  <c r="E114" i="2"/>
  <c r="J113" i="2"/>
  <c r="G113" i="2"/>
  <c r="E113" i="2"/>
  <c r="J112" i="2"/>
  <c r="G112" i="2"/>
  <c r="E112" i="2"/>
  <c r="J111" i="2"/>
  <c r="G111" i="2"/>
  <c r="E111" i="2"/>
  <c r="J110" i="2"/>
  <c r="G110" i="2"/>
  <c r="E110" i="2"/>
  <c r="J109" i="2"/>
  <c r="G109" i="2"/>
  <c r="E109" i="2"/>
  <c r="J108" i="2"/>
  <c r="G108" i="2"/>
  <c r="E108" i="2"/>
  <c r="J107" i="2"/>
  <c r="G107" i="2"/>
  <c r="E107" i="2"/>
  <c r="J106" i="2"/>
  <c r="G106" i="2"/>
  <c r="E106" i="2"/>
  <c r="J105" i="2"/>
  <c r="G105" i="2"/>
  <c r="E105" i="2"/>
  <c r="J104" i="2"/>
  <c r="G104" i="2"/>
  <c r="E104" i="2"/>
  <c r="J103" i="2"/>
  <c r="G103" i="2"/>
  <c r="E103" i="2"/>
  <c r="J102" i="2"/>
  <c r="G102" i="2"/>
  <c r="E102" i="2"/>
  <c r="J101" i="2"/>
  <c r="G101" i="2"/>
  <c r="E101" i="2"/>
  <c r="J100" i="2"/>
  <c r="G100" i="2"/>
  <c r="E100" i="2"/>
  <c r="J99" i="2"/>
  <c r="G99" i="2"/>
  <c r="E99" i="2"/>
  <c r="J98" i="2"/>
  <c r="G98" i="2"/>
  <c r="E98" i="2"/>
  <c r="J97" i="2"/>
  <c r="G97" i="2"/>
  <c r="E97" i="2"/>
  <c r="J96" i="2"/>
  <c r="G96" i="2"/>
  <c r="E96" i="2"/>
  <c r="J95" i="2"/>
  <c r="G95" i="2"/>
  <c r="E95" i="2"/>
  <c r="J94" i="2"/>
  <c r="G94" i="2"/>
  <c r="E94" i="2"/>
  <c r="J93" i="2"/>
  <c r="G93" i="2"/>
  <c r="E93" i="2"/>
  <c r="J92" i="2"/>
  <c r="G92" i="2"/>
  <c r="E92" i="2"/>
  <c r="J91" i="2"/>
  <c r="G91" i="2"/>
  <c r="E91" i="2"/>
  <c r="J90" i="2"/>
  <c r="G90" i="2"/>
  <c r="E90" i="2"/>
  <c r="J89" i="2"/>
  <c r="G89" i="2"/>
  <c r="E89" i="2"/>
  <c r="J88" i="2"/>
  <c r="G88" i="2"/>
  <c r="E88" i="2"/>
  <c r="J87" i="2"/>
  <c r="G87" i="2"/>
  <c r="E87" i="2"/>
  <c r="J86" i="2"/>
  <c r="G86" i="2"/>
  <c r="E86" i="2"/>
  <c r="J85" i="2"/>
  <c r="G85" i="2"/>
  <c r="E85" i="2"/>
  <c r="J84" i="2"/>
  <c r="G84" i="2"/>
  <c r="E84" i="2"/>
  <c r="J83" i="2"/>
  <c r="G83" i="2"/>
  <c r="E83" i="2"/>
  <c r="J82" i="2"/>
  <c r="G82" i="2"/>
  <c r="E82" i="2"/>
  <c r="J81" i="2"/>
  <c r="G81" i="2"/>
  <c r="E81" i="2"/>
  <c r="J80" i="2"/>
  <c r="G80" i="2"/>
  <c r="E80" i="2"/>
  <c r="J79" i="2"/>
  <c r="G79" i="2"/>
  <c r="E79" i="2"/>
  <c r="J78" i="2"/>
  <c r="G78" i="2"/>
  <c r="E78" i="2"/>
  <c r="J77" i="2"/>
  <c r="G77" i="2"/>
  <c r="E77" i="2"/>
  <c r="J76" i="2"/>
  <c r="G76" i="2"/>
  <c r="E76" i="2"/>
  <c r="J75" i="2"/>
  <c r="G75" i="2"/>
  <c r="E75" i="2"/>
  <c r="J74" i="2"/>
  <c r="G74" i="2"/>
  <c r="E74" i="2"/>
  <c r="J73" i="2"/>
  <c r="G73" i="2"/>
  <c r="E73" i="2"/>
  <c r="J72" i="2"/>
  <c r="G72" i="2"/>
  <c r="E72" i="2"/>
  <c r="J71" i="2"/>
  <c r="G71" i="2"/>
  <c r="E71" i="2"/>
  <c r="J70" i="2"/>
  <c r="G70" i="2"/>
  <c r="E70" i="2"/>
  <c r="J69" i="2"/>
  <c r="G69" i="2"/>
  <c r="E69" i="2"/>
  <c r="J68" i="2"/>
  <c r="G68" i="2"/>
  <c r="E68" i="2"/>
  <c r="J67" i="2"/>
  <c r="G67" i="2"/>
  <c r="E67" i="2"/>
  <c r="J66" i="2"/>
  <c r="G66" i="2"/>
  <c r="E66" i="2"/>
  <c r="J65" i="2"/>
  <c r="G65" i="2"/>
  <c r="E65" i="2"/>
  <c r="J64" i="2"/>
  <c r="G64" i="2"/>
  <c r="E64" i="2"/>
  <c r="J63" i="2"/>
  <c r="G63" i="2"/>
  <c r="E63" i="2"/>
  <c r="J62" i="2"/>
  <c r="G62" i="2"/>
  <c r="E62" i="2"/>
  <c r="J61" i="2"/>
  <c r="G61" i="2"/>
  <c r="E61" i="2"/>
  <c r="J60" i="2"/>
  <c r="G60" i="2"/>
  <c r="E60" i="2"/>
  <c r="J59" i="2"/>
  <c r="G59" i="2"/>
  <c r="E59" i="2"/>
  <c r="J58" i="2"/>
  <c r="G58" i="2"/>
  <c r="E58" i="2"/>
  <c r="J57" i="2"/>
  <c r="G57" i="2"/>
  <c r="E57" i="2"/>
  <c r="J56" i="2"/>
  <c r="G56" i="2"/>
  <c r="E56" i="2"/>
  <c r="J55" i="2"/>
  <c r="G55" i="2"/>
  <c r="E55" i="2"/>
  <c r="J54" i="2"/>
  <c r="G54" i="2"/>
  <c r="E54" i="2"/>
  <c r="J53" i="2"/>
  <c r="G53" i="2"/>
  <c r="E53" i="2"/>
  <c r="J52" i="2"/>
  <c r="G52" i="2"/>
  <c r="E52" i="2"/>
  <c r="J51" i="2"/>
  <c r="G51" i="2"/>
  <c r="E51" i="2"/>
  <c r="J50" i="2"/>
  <c r="G50" i="2"/>
  <c r="E50" i="2"/>
  <c r="J49" i="2"/>
  <c r="G49" i="2"/>
  <c r="E49" i="2"/>
  <c r="J48" i="2"/>
  <c r="G48" i="2"/>
  <c r="E48" i="2"/>
  <c r="J47" i="2"/>
  <c r="G47" i="2"/>
  <c r="E47" i="2"/>
  <c r="J46" i="2"/>
  <c r="G46" i="2"/>
  <c r="E46" i="2"/>
  <c r="J45" i="2"/>
  <c r="G45" i="2"/>
  <c r="E45" i="2"/>
  <c r="J44" i="2"/>
  <c r="G44" i="2"/>
  <c r="E44" i="2"/>
  <c r="J43" i="2"/>
  <c r="G43" i="2"/>
  <c r="E43" i="2"/>
  <c r="J42" i="2"/>
  <c r="G42" i="2"/>
  <c r="E42" i="2"/>
  <c r="J41" i="2"/>
  <c r="G41" i="2"/>
  <c r="E41" i="2"/>
  <c r="J40" i="2"/>
  <c r="G40" i="2"/>
  <c r="E40" i="2"/>
  <c r="J39" i="2"/>
  <c r="G39" i="2"/>
  <c r="E39" i="2"/>
  <c r="J38" i="2"/>
  <c r="G38" i="2"/>
  <c r="E38" i="2"/>
  <c r="J37" i="2"/>
  <c r="G37" i="2"/>
  <c r="E37" i="2"/>
  <c r="J36" i="2"/>
  <c r="G36" i="2"/>
  <c r="E36" i="2"/>
  <c r="J35" i="2"/>
  <c r="G35" i="2"/>
  <c r="E35" i="2"/>
  <c r="J34" i="2"/>
  <c r="G34" i="2"/>
  <c r="E34" i="2"/>
  <c r="J33" i="2"/>
  <c r="G33" i="2"/>
  <c r="E33" i="2"/>
  <c r="J32" i="2"/>
  <c r="G32" i="2"/>
  <c r="E32" i="2"/>
  <c r="J31" i="2"/>
  <c r="G31" i="2"/>
  <c r="E31" i="2"/>
  <c r="J30" i="2"/>
  <c r="G30" i="2"/>
  <c r="E30" i="2"/>
  <c r="J29" i="2"/>
  <c r="G29" i="2"/>
  <c r="E29" i="2"/>
  <c r="J28" i="2"/>
  <c r="G28" i="2"/>
  <c r="E28" i="2"/>
  <c r="J27" i="2"/>
  <c r="G27" i="2"/>
  <c r="E27" i="2"/>
  <c r="J26" i="2"/>
  <c r="G26" i="2"/>
  <c r="E26" i="2"/>
  <c r="J25" i="2"/>
  <c r="G25" i="2"/>
  <c r="E25" i="2"/>
  <c r="J24" i="2"/>
  <c r="G24" i="2"/>
  <c r="E24" i="2"/>
  <c r="J23" i="2"/>
  <c r="G23" i="2"/>
  <c r="E23" i="2"/>
  <c r="J22" i="2"/>
  <c r="G22" i="2"/>
  <c r="E22" i="2"/>
  <c r="J21" i="2"/>
  <c r="G21" i="2"/>
  <c r="E21" i="2"/>
  <c r="J20" i="2"/>
  <c r="G20" i="2"/>
  <c r="E20" i="2"/>
  <c r="J19" i="2"/>
  <c r="G19" i="2"/>
  <c r="E19" i="2"/>
  <c r="J18" i="2"/>
  <c r="G18" i="2"/>
  <c r="E18" i="2"/>
  <c r="J17" i="2"/>
  <c r="G17" i="2"/>
  <c r="E17" i="2"/>
  <c r="J16" i="2"/>
  <c r="G16" i="2"/>
  <c r="E16" i="2"/>
  <c r="J15" i="2"/>
  <c r="G15" i="2"/>
  <c r="E15" i="2"/>
  <c r="J14" i="2"/>
  <c r="G14" i="2"/>
  <c r="E14" i="2"/>
  <c r="J13" i="2"/>
  <c r="G13" i="2"/>
  <c r="E13" i="2"/>
  <c r="J12" i="2"/>
  <c r="G12" i="2"/>
  <c r="E12" i="2"/>
  <c r="J11" i="2"/>
  <c r="G11" i="2"/>
  <c r="E11" i="2"/>
  <c r="J10" i="2"/>
  <c r="G10" i="2"/>
  <c r="E10" i="2"/>
  <c r="J9" i="2"/>
  <c r="G9" i="2"/>
  <c r="E9" i="2"/>
  <c r="J8" i="2"/>
  <c r="G8" i="2"/>
  <c r="E8" i="2"/>
  <c r="J7" i="2"/>
  <c r="G7" i="2"/>
  <c r="E7" i="2"/>
  <c r="J6" i="2"/>
  <c r="G6" i="2"/>
  <c r="E6" i="2"/>
  <c r="J5" i="2"/>
  <c r="G5" i="2"/>
  <c r="E5" i="2"/>
  <c r="J4" i="2"/>
  <c r="G4" i="2"/>
  <c r="E4" i="2"/>
  <c r="J3" i="2"/>
  <c r="G3" i="2"/>
  <c r="E3" i="2"/>
  <c r="J2" i="2"/>
  <c r="G2" i="2"/>
  <c r="H282" i="1"/>
  <c r="D282" i="1"/>
  <c r="B282" i="1"/>
  <c r="C282" i="1" s="1"/>
  <c r="H281" i="1"/>
  <c r="D281" i="1"/>
  <c r="B281" i="1"/>
  <c r="C281" i="1" s="1"/>
  <c r="H280" i="1"/>
  <c r="D280" i="1"/>
  <c r="B280" i="1"/>
  <c r="H279" i="1"/>
  <c r="D279" i="1"/>
  <c r="B279" i="1"/>
  <c r="H278" i="1"/>
  <c r="D278" i="1"/>
  <c r="B278" i="1"/>
  <c r="H277" i="1"/>
  <c r="D277" i="1"/>
  <c r="B277" i="1"/>
  <c r="H276" i="1"/>
  <c r="D276" i="1"/>
  <c r="B276" i="1"/>
  <c r="H275" i="1"/>
  <c r="D275" i="1"/>
  <c r="B275" i="1"/>
  <c r="H274" i="1"/>
  <c r="D274" i="1"/>
  <c r="B274" i="1"/>
  <c r="H273" i="1"/>
  <c r="D273" i="1"/>
  <c r="B273" i="1"/>
  <c r="H272" i="1"/>
  <c r="D272" i="1"/>
  <c r="B272" i="1"/>
  <c r="H271" i="1"/>
  <c r="D271" i="1"/>
  <c r="B271" i="1"/>
  <c r="H270" i="1"/>
  <c r="D270" i="1"/>
  <c r="B270" i="1"/>
  <c r="H269" i="1"/>
  <c r="D269" i="1"/>
  <c r="B269" i="1"/>
  <c r="H268" i="1"/>
  <c r="D268" i="1"/>
  <c r="B268" i="1"/>
  <c r="H267" i="1"/>
  <c r="D267" i="1"/>
  <c r="B267" i="1"/>
  <c r="H266" i="1"/>
  <c r="D266" i="1"/>
  <c r="B266" i="1"/>
  <c r="H265" i="1"/>
  <c r="D265" i="1"/>
  <c r="B265" i="1"/>
  <c r="H264" i="1"/>
  <c r="D264" i="1"/>
  <c r="B264" i="1"/>
  <c r="H263" i="1"/>
  <c r="D263" i="1"/>
  <c r="B263" i="1"/>
  <c r="H262" i="1"/>
  <c r="D262" i="1"/>
  <c r="B262" i="1"/>
  <c r="H261" i="1"/>
  <c r="D261" i="1"/>
  <c r="B261" i="1"/>
  <c r="H260" i="1"/>
  <c r="D260" i="1"/>
  <c r="B260" i="1"/>
  <c r="H259" i="1"/>
  <c r="D259" i="1"/>
  <c r="B259" i="1"/>
  <c r="H258" i="1"/>
  <c r="D258" i="1"/>
  <c r="B258" i="1"/>
  <c r="H257" i="1"/>
  <c r="D257" i="1"/>
  <c r="B257" i="1"/>
  <c r="H256" i="1"/>
  <c r="D256" i="1"/>
  <c r="B256" i="1"/>
  <c r="H255" i="1"/>
  <c r="D255" i="1"/>
  <c r="B255" i="1"/>
  <c r="H254" i="1"/>
  <c r="D254" i="1"/>
  <c r="B254" i="1"/>
  <c r="H253" i="1"/>
  <c r="D253" i="1"/>
  <c r="B253" i="1"/>
  <c r="H252" i="1"/>
  <c r="D252" i="1"/>
  <c r="B252" i="1"/>
  <c r="H251" i="1"/>
  <c r="D251" i="1"/>
  <c r="B251" i="1"/>
  <c r="H250" i="1"/>
  <c r="D250" i="1"/>
  <c r="B250" i="1"/>
  <c r="H249" i="1"/>
  <c r="D249" i="1"/>
  <c r="B249" i="1"/>
  <c r="H248" i="1"/>
  <c r="D248" i="1"/>
  <c r="B248" i="1"/>
  <c r="H247" i="1"/>
  <c r="D247" i="1"/>
  <c r="B247" i="1"/>
  <c r="H246" i="1"/>
  <c r="D246" i="1"/>
  <c r="B246" i="1"/>
  <c r="H245" i="1"/>
  <c r="D245" i="1"/>
  <c r="B245" i="1"/>
  <c r="H244" i="1"/>
  <c r="D244" i="1"/>
  <c r="B244" i="1"/>
  <c r="H243" i="1"/>
  <c r="D243" i="1"/>
  <c r="B243" i="1"/>
  <c r="H242" i="1"/>
  <c r="D242" i="1"/>
  <c r="B242" i="1"/>
  <c r="H241" i="1"/>
  <c r="D241" i="1"/>
  <c r="B241" i="1"/>
  <c r="H240" i="1"/>
  <c r="D240" i="1"/>
  <c r="B240" i="1"/>
  <c r="H239" i="1"/>
  <c r="D239" i="1"/>
  <c r="B239" i="1"/>
  <c r="H238" i="1"/>
  <c r="G86" i="1" s="1"/>
  <c r="D238" i="1"/>
  <c r="B238" i="1"/>
  <c r="H237" i="1"/>
  <c r="G67" i="1" s="1"/>
  <c r="D237" i="1"/>
  <c r="B237" i="1"/>
  <c r="H236" i="1"/>
  <c r="D236" i="1"/>
  <c r="B236" i="1"/>
  <c r="H235" i="1"/>
  <c r="G211" i="1" s="1"/>
  <c r="D235" i="1"/>
  <c r="B235" i="1"/>
  <c r="H234" i="1"/>
  <c r="D234" i="1"/>
  <c r="B234" i="1"/>
  <c r="H233" i="1"/>
  <c r="D233" i="1"/>
  <c r="B233" i="1"/>
  <c r="H232" i="1"/>
  <c r="G90" i="1" s="1"/>
  <c r="D232" i="1"/>
  <c r="B232" i="1"/>
  <c r="H231" i="1"/>
  <c r="D231" i="1"/>
  <c r="B231" i="1"/>
  <c r="H230" i="1"/>
  <c r="D230" i="1"/>
  <c r="B230" i="1"/>
  <c r="H229" i="1"/>
  <c r="D229" i="1"/>
  <c r="B229" i="1"/>
  <c r="H228" i="1"/>
  <c r="D228" i="1"/>
  <c r="B228" i="1"/>
  <c r="H227" i="1"/>
  <c r="D227" i="1"/>
  <c r="B227" i="1"/>
  <c r="H226" i="1"/>
  <c r="D226" i="1"/>
  <c r="B226" i="1"/>
  <c r="H225" i="1"/>
  <c r="D225" i="1"/>
  <c r="B225" i="1"/>
  <c r="H224" i="1"/>
  <c r="D224" i="1"/>
  <c r="B224" i="1"/>
  <c r="H223" i="1"/>
  <c r="D223" i="1"/>
  <c r="B223" i="1"/>
  <c r="H222" i="1"/>
  <c r="D222" i="1"/>
  <c r="B222" i="1"/>
  <c r="H221" i="1"/>
  <c r="D221" i="1"/>
  <c r="B221" i="1"/>
  <c r="H220" i="1"/>
  <c r="D220" i="1"/>
  <c r="B220" i="1"/>
  <c r="H219" i="1"/>
  <c r="D219" i="1"/>
  <c r="B219" i="1"/>
  <c r="H218" i="1"/>
  <c r="D218" i="1"/>
  <c r="B218" i="1"/>
  <c r="H217" i="1"/>
  <c r="D217" i="1"/>
  <c r="B217" i="1"/>
  <c r="H216" i="1"/>
  <c r="D216" i="1"/>
  <c r="B216" i="1"/>
  <c r="H215" i="1"/>
  <c r="D215" i="1"/>
  <c r="B215" i="1"/>
  <c r="H214" i="1"/>
  <c r="D214" i="1"/>
  <c r="B214" i="1"/>
  <c r="H213" i="1"/>
  <c r="D213" i="1"/>
  <c r="B213" i="1"/>
  <c r="H212" i="1"/>
  <c r="D212" i="1"/>
  <c r="B212" i="1"/>
  <c r="H211" i="1"/>
  <c r="D211" i="1"/>
  <c r="B211" i="1"/>
  <c r="H210" i="1"/>
  <c r="D210" i="1"/>
  <c r="B210" i="1"/>
  <c r="H209" i="1"/>
  <c r="D209" i="1"/>
  <c r="B209" i="1"/>
  <c r="H208" i="1"/>
  <c r="D208" i="1"/>
  <c r="B208" i="1"/>
  <c r="H207" i="1"/>
  <c r="D207" i="1"/>
  <c r="B207" i="1"/>
  <c r="H206" i="1"/>
  <c r="D206" i="1"/>
  <c r="B206" i="1"/>
  <c r="H205" i="1"/>
  <c r="D205" i="1"/>
  <c r="B205" i="1"/>
  <c r="H204" i="1"/>
  <c r="D204" i="1"/>
  <c r="B204" i="1"/>
  <c r="H203" i="1"/>
  <c r="D203" i="1"/>
  <c r="B203" i="1"/>
  <c r="H202" i="1"/>
  <c r="D202" i="1"/>
  <c r="B202" i="1"/>
  <c r="H201" i="1"/>
  <c r="D201" i="1"/>
  <c r="B201" i="1"/>
  <c r="H200" i="1"/>
  <c r="G200" i="1"/>
  <c r="D200" i="1"/>
  <c r="B200" i="1"/>
  <c r="H199" i="1"/>
  <c r="D199" i="1"/>
  <c r="B199" i="1"/>
  <c r="H198" i="1"/>
  <c r="D198" i="1"/>
  <c r="B198" i="1"/>
  <c r="H197" i="1"/>
  <c r="D197" i="1"/>
  <c r="B197" i="1"/>
  <c r="H196" i="1"/>
  <c r="D196" i="1"/>
  <c r="B196" i="1"/>
  <c r="H195" i="1"/>
  <c r="D195" i="1"/>
  <c r="B195" i="1"/>
  <c r="H194" i="1"/>
  <c r="D194" i="1"/>
  <c r="B194" i="1"/>
  <c r="H193" i="1"/>
  <c r="D193" i="1"/>
  <c r="B193" i="1"/>
  <c r="H192" i="1"/>
  <c r="D192" i="1"/>
  <c r="B192" i="1"/>
  <c r="H191" i="1"/>
  <c r="D191" i="1"/>
  <c r="B191" i="1"/>
  <c r="H190" i="1"/>
  <c r="G190" i="1"/>
  <c r="D190" i="1"/>
  <c r="B190" i="1"/>
  <c r="H189" i="1"/>
  <c r="G189" i="1"/>
  <c r="D189" i="1"/>
  <c r="B189" i="1"/>
  <c r="H188" i="1"/>
  <c r="D188" i="1"/>
  <c r="B188" i="1"/>
  <c r="H187" i="1"/>
  <c r="G166" i="1" s="1"/>
  <c r="D187" i="1"/>
  <c r="B187" i="1"/>
  <c r="H186" i="1"/>
  <c r="G282" i="1" s="1"/>
  <c r="D186" i="1"/>
  <c r="B186" i="1"/>
  <c r="H185" i="1"/>
  <c r="G207" i="1" s="1"/>
  <c r="D185" i="1"/>
  <c r="B185" i="1"/>
  <c r="H184" i="1"/>
  <c r="D184" i="1"/>
  <c r="B184" i="1"/>
  <c r="H183" i="1"/>
  <c r="D183" i="1"/>
  <c r="B183" i="1"/>
  <c r="H182" i="1"/>
  <c r="D182" i="1"/>
  <c r="B182" i="1"/>
  <c r="H181" i="1"/>
  <c r="G220" i="1" s="1"/>
  <c r="D181" i="1"/>
  <c r="B181" i="1"/>
  <c r="H180" i="1"/>
  <c r="G223" i="1" s="1"/>
  <c r="D180" i="1"/>
  <c r="B180" i="1"/>
  <c r="H179" i="1"/>
  <c r="D179" i="1"/>
  <c r="B179" i="1"/>
  <c r="H178" i="1"/>
  <c r="D178" i="1"/>
  <c r="B178" i="1"/>
  <c r="H177" i="1"/>
  <c r="D177" i="1"/>
  <c r="B177" i="1"/>
  <c r="H176" i="1"/>
  <c r="D176" i="1"/>
  <c r="B176" i="1"/>
  <c r="H175" i="1"/>
  <c r="D175" i="1"/>
  <c r="B175" i="1"/>
  <c r="H174" i="1"/>
  <c r="D174" i="1"/>
  <c r="B174" i="1"/>
  <c r="H173" i="1"/>
  <c r="D173" i="1"/>
  <c r="B173" i="1"/>
  <c r="H172" i="1"/>
  <c r="D172" i="1"/>
  <c r="B172" i="1"/>
  <c r="H171" i="1"/>
  <c r="D171" i="1"/>
  <c r="B171" i="1"/>
  <c r="H170" i="1"/>
  <c r="D170" i="1"/>
  <c r="B170" i="1"/>
  <c r="H169" i="1"/>
  <c r="G169" i="1"/>
  <c r="D169" i="1"/>
  <c r="B169" i="1"/>
  <c r="H168" i="1"/>
  <c r="D168" i="1"/>
  <c r="B168" i="1"/>
  <c r="H167" i="1"/>
  <c r="D167" i="1"/>
  <c r="B167" i="1"/>
  <c r="H166" i="1"/>
  <c r="G231" i="1" s="1"/>
  <c r="D166" i="1"/>
  <c r="B166" i="1"/>
  <c r="H165" i="1"/>
  <c r="D165" i="1"/>
  <c r="B165" i="1"/>
  <c r="H164" i="1"/>
  <c r="D164" i="1"/>
  <c r="B164" i="1"/>
  <c r="H163" i="1"/>
  <c r="D163" i="1"/>
  <c r="B163" i="1"/>
  <c r="H162" i="1"/>
  <c r="G199" i="1" s="1"/>
  <c r="D162" i="1"/>
  <c r="B162" i="1"/>
  <c r="H161" i="1"/>
  <c r="G184" i="1" s="1"/>
  <c r="D161" i="1"/>
  <c r="B161" i="1"/>
  <c r="H160" i="1"/>
  <c r="G194" i="1" s="1"/>
  <c r="D160" i="1"/>
  <c r="B160" i="1"/>
  <c r="H159" i="1"/>
  <c r="G178" i="1" s="1"/>
  <c r="G159" i="1"/>
  <c r="D159" i="1"/>
  <c r="B159" i="1"/>
  <c r="H158" i="1"/>
  <c r="G64" i="1" s="1"/>
  <c r="D158" i="1"/>
  <c r="B158" i="1"/>
  <c r="H157" i="1"/>
  <c r="D157" i="1"/>
  <c r="B157" i="1"/>
  <c r="H156" i="1"/>
  <c r="G247" i="1" s="1"/>
  <c r="D156" i="1"/>
  <c r="B156" i="1"/>
  <c r="H155" i="1"/>
  <c r="D155" i="1"/>
  <c r="B155" i="1"/>
  <c r="H154" i="1"/>
  <c r="D154" i="1"/>
  <c r="B154" i="1"/>
  <c r="H153" i="1"/>
  <c r="D153" i="1"/>
  <c r="B153" i="1"/>
  <c r="H152" i="1"/>
  <c r="G84" i="1" s="1"/>
  <c r="D152" i="1"/>
  <c r="B152" i="1"/>
  <c r="H151" i="1"/>
  <c r="D151" i="1"/>
  <c r="B151" i="1"/>
  <c r="H150" i="1"/>
  <c r="D150" i="1"/>
  <c r="B150" i="1"/>
  <c r="H149" i="1"/>
  <c r="D149" i="1"/>
  <c r="B149" i="1"/>
  <c r="H148" i="1"/>
  <c r="D148" i="1"/>
  <c r="B148" i="1"/>
  <c r="H147" i="1"/>
  <c r="D147" i="1"/>
  <c r="B147" i="1"/>
  <c r="H146" i="1"/>
  <c r="D146" i="1"/>
  <c r="B146" i="1"/>
  <c r="H145" i="1"/>
  <c r="G97" i="1" s="1"/>
  <c r="D145" i="1"/>
  <c r="B145" i="1"/>
  <c r="H144" i="1"/>
  <c r="D144" i="1"/>
  <c r="B144" i="1"/>
  <c r="H143" i="1"/>
  <c r="D143" i="1"/>
  <c r="B143" i="1"/>
  <c r="H142" i="1"/>
  <c r="D142" i="1"/>
  <c r="B142" i="1"/>
  <c r="H141" i="1"/>
  <c r="D141" i="1"/>
  <c r="B141" i="1"/>
  <c r="H140" i="1"/>
  <c r="D140" i="1"/>
  <c r="B140" i="1"/>
  <c r="H139" i="1"/>
  <c r="D139" i="1"/>
  <c r="B139" i="1"/>
  <c r="H138" i="1"/>
  <c r="G139" i="1" s="1"/>
  <c r="D138" i="1"/>
  <c r="B138" i="1"/>
  <c r="H137" i="1"/>
  <c r="G137" i="1"/>
  <c r="D137" i="1"/>
  <c r="B137" i="1"/>
  <c r="H136" i="1"/>
  <c r="D136" i="1"/>
  <c r="B136" i="1"/>
  <c r="H135" i="1"/>
  <c r="G272" i="1" s="1"/>
  <c r="D135" i="1"/>
  <c r="B135" i="1"/>
  <c r="H134" i="1"/>
  <c r="D134" i="1"/>
  <c r="B134" i="1"/>
  <c r="H133" i="1"/>
  <c r="D133" i="1"/>
  <c r="B133" i="1"/>
  <c r="H132" i="1"/>
  <c r="D132" i="1"/>
  <c r="B132" i="1"/>
  <c r="H131" i="1"/>
  <c r="G153" i="1" s="1"/>
  <c r="G131" i="1"/>
  <c r="D131" i="1"/>
  <c r="B131" i="1"/>
  <c r="H130" i="1"/>
  <c r="D130" i="1"/>
  <c r="B130" i="1"/>
  <c r="H129" i="1"/>
  <c r="G113" i="1" s="1"/>
  <c r="D129" i="1"/>
  <c r="B129" i="1"/>
  <c r="H128" i="1"/>
  <c r="D128" i="1"/>
  <c r="B128" i="1"/>
  <c r="H127" i="1"/>
  <c r="G160" i="1" s="1"/>
  <c r="D127" i="1"/>
  <c r="B127" i="1"/>
  <c r="H126" i="1"/>
  <c r="G66" i="1" s="1"/>
  <c r="D126" i="1"/>
  <c r="B126" i="1"/>
  <c r="H125" i="1"/>
  <c r="G203" i="1" s="1"/>
  <c r="D125" i="1"/>
  <c r="B125" i="1"/>
  <c r="H124" i="1"/>
  <c r="G136" i="1" s="1"/>
  <c r="D124" i="1"/>
  <c r="B124" i="1"/>
  <c r="H123" i="1"/>
  <c r="D123" i="1"/>
  <c r="B123" i="1"/>
  <c r="H122" i="1"/>
  <c r="D122" i="1"/>
  <c r="B122" i="1"/>
  <c r="H121" i="1"/>
  <c r="G175" i="1" s="1"/>
  <c r="D121" i="1"/>
  <c r="B121" i="1"/>
  <c r="H120" i="1"/>
  <c r="D120" i="1"/>
  <c r="B120" i="1"/>
  <c r="H119" i="1"/>
  <c r="G74" i="1" s="1"/>
  <c r="D119" i="1"/>
  <c r="B119" i="1"/>
  <c r="H118" i="1"/>
  <c r="D118" i="1"/>
  <c r="B118" i="1"/>
  <c r="H117" i="1"/>
  <c r="G182" i="1" s="1"/>
  <c r="D117" i="1"/>
  <c r="B117" i="1"/>
  <c r="H116" i="1"/>
  <c r="D116" i="1"/>
  <c r="B116" i="1"/>
  <c r="H115" i="1"/>
  <c r="D115" i="1"/>
  <c r="B115" i="1"/>
  <c r="H114" i="1"/>
  <c r="G62" i="1" s="1"/>
  <c r="D114" i="1"/>
  <c r="B114" i="1"/>
  <c r="H113" i="1"/>
  <c r="D113" i="1"/>
  <c r="B113" i="1"/>
  <c r="H112" i="1"/>
  <c r="G91" i="1" s="1"/>
  <c r="D112" i="1"/>
  <c r="B112" i="1"/>
  <c r="H111" i="1"/>
  <c r="G111" i="1"/>
  <c r="D111" i="1"/>
  <c r="B111" i="1"/>
  <c r="H110" i="1"/>
  <c r="G273" i="1" s="1"/>
  <c r="G110" i="1"/>
  <c r="D110" i="1"/>
  <c r="B110" i="1"/>
  <c r="H109" i="1"/>
  <c r="D109" i="1"/>
  <c r="B109" i="1"/>
  <c r="H108" i="1"/>
  <c r="G108" i="1"/>
  <c r="D108" i="1"/>
  <c r="B108" i="1"/>
  <c r="H107" i="1"/>
  <c r="G279" i="1" s="1"/>
  <c r="G107" i="1"/>
  <c r="D107" i="1"/>
  <c r="B107" i="1"/>
  <c r="H106" i="1"/>
  <c r="G106" i="1"/>
  <c r="D106" i="1"/>
  <c r="B106" i="1"/>
  <c r="H105" i="1"/>
  <c r="G95" i="1" s="1"/>
  <c r="D105" i="1"/>
  <c r="B105" i="1"/>
  <c r="H104" i="1"/>
  <c r="G112" i="1" s="1"/>
  <c r="D104" i="1"/>
  <c r="B104" i="1"/>
  <c r="H103" i="1"/>
  <c r="G230" i="1" s="1"/>
  <c r="G103" i="1"/>
  <c r="D103" i="1"/>
  <c r="B103" i="1"/>
  <c r="H102" i="1"/>
  <c r="G102" i="1"/>
  <c r="D102" i="1"/>
  <c r="B102" i="1"/>
  <c r="H101" i="1"/>
  <c r="G87" i="1" s="1"/>
  <c r="G101" i="1"/>
  <c r="D101" i="1"/>
  <c r="B101" i="1"/>
  <c r="H100" i="1"/>
  <c r="G191" i="1" s="1"/>
  <c r="G100" i="1"/>
  <c r="D100" i="1"/>
  <c r="B100" i="1"/>
  <c r="H99" i="1"/>
  <c r="G83" i="1" s="1"/>
  <c r="G99" i="1"/>
  <c r="D99" i="1"/>
  <c r="B99" i="1"/>
  <c r="H98" i="1"/>
  <c r="G124" i="1" s="1"/>
  <c r="G98" i="1"/>
  <c r="D98" i="1"/>
  <c r="B98" i="1"/>
  <c r="H97" i="1"/>
  <c r="D97" i="1"/>
  <c r="B97" i="1"/>
  <c r="H96" i="1"/>
  <c r="D96" i="1"/>
  <c r="B96" i="1"/>
  <c r="H95" i="1"/>
  <c r="D95" i="1"/>
  <c r="B95" i="1"/>
  <c r="H94" i="1"/>
  <c r="D94" i="1"/>
  <c r="B94" i="1"/>
  <c r="H93" i="1"/>
  <c r="D93" i="1"/>
  <c r="B93" i="1"/>
  <c r="H92" i="1"/>
  <c r="D92" i="1"/>
  <c r="B92" i="1"/>
  <c r="H91" i="1"/>
  <c r="D91" i="1"/>
  <c r="B91" i="1"/>
  <c r="H90" i="1"/>
  <c r="D90" i="1"/>
  <c r="B90" i="1"/>
  <c r="H89" i="1"/>
  <c r="G242" i="1" s="1"/>
  <c r="D89" i="1"/>
  <c r="B89" i="1"/>
  <c r="H88" i="1"/>
  <c r="D88" i="1"/>
  <c r="B88" i="1"/>
  <c r="H87" i="1"/>
  <c r="G239" i="1" s="1"/>
  <c r="D87" i="1"/>
  <c r="B87" i="1"/>
  <c r="H86" i="1"/>
  <c r="G274" i="1" s="1"/>
  <c r="D86" i="1"/>
  <c r="B86" i="1"/>
  <c r="H85" i="1"/>
  <c r="D85" i="1"/>
  <c r="B85" i="1"/>
  <c r="H84" i="1"/>
  <c r="D84" i="1"/>
  <c r="B84" i="1"/>
  <c r="H83" i="1"/>
  <c r="G195" i="1" s="1"/>
  <c r="D83" i="1"/>
  <c r="B83" i="1"/>
  <c r="H82" i="1"/>
  <c r="G243" i="1" s="1"/>
  <c r="G82" i="1"/>
  <c r="D82" i="1"/>
  <c r="B82" i="1"/>
  <c r="H81" i="1"/>
  <c r="G81" i="1"/>
  <c r="D81" i="1"/>
  <c r="B81" i="1"/>
  <c r="H80" i="1"/>
  <c r="G80" i="1"/>
  <c r="D80" i="1"/>
  <c r="B80" i="1"/>
  <c r="H79" i="1"/>
  <c r="G85" i="1" s="1"/>
  <c r="G79" i="1"/>
  <c r="D79" i="1"/>
  <c r="B79" i="1"/>
  <c r="H78" i="1"/>
  <c r="G217" i="1" s="1"/>
  <c r="G78" i="1"/>
  <c r="D78" i="1"/>
  <c r="B78" i="1"/>
  <c r="H77" i="1"/>
  <c r="G77" i="1"/>
  <c r="D77" i="1"/>
  <c r="B77" i="1"/>
  <c r="H76" i="1"/>
  <c r="G76" i="1"/>
  <c r="D76" i="1"/>
  <c r="B76" i="1"/>
  <c r="H75" i="1"/>
  <c r="G209" i="1" s="1"/>
  <c r="D75" i="1"/>
  <c r="B75" i="1"/>
  <c r="H74" i="1"/>
  <c r="D74" i="1"/>
  <c r="B74" i="1"/>
  <c r="H73" i="1"/>
  <c r="G140" i="1" s="1"/>
  <c r="D73" i="1"/>
  <c r="B73" i="1"/>
  <c r="H72" i="1"/>
  <c r="D72" i="1"/>
  <c r="B72" i="1"/>
  <c r="H71" i="1"/>
  <c r="G93" i="1" s="1"/>
  <c r="D71" i="1"/>
  <c r="B71" i="1"/>
  <c r="H70" i="1"/>
  <c r="D70" i="1"/>
  <c r="B70" i="1"/>
  <c r="H69" i="1"/>
  <c r="G213" i="1" s="1"/>
  <c r="D69" i="1"/>
  <c r="B69" i="1"/>
  <c r="H68" i="1"/>
  <c r="G156" i="1" s="1"/>
  <c r="D68" i="1"/>
  <c r="B68" i="1"/>
  <c r="H67" i="1"/>
  <c r="D67" i="1"/>
  <c r="B67" i="1"/>
  <c r="H66" i="1"/>
  <c r="G128" i="1" s="1"/>
  <c r="D66" i="1"/>
  <c r="B66" i="1"/>
  <c r="H65" i="1"/>
  <c r="D65" i="1"/>
  <c r="B65" i="1"/>
  <c r="H64" i="1"/>
  <c r="G201" i="1" s="1"/>
  <c r="D64" i="1"/>
  <c r="B64" i="1"/>
  <c r="H63" i="1"/>
  <c r="G96" i="1" s="1"/>
  <c r="D63" i="1"/>
  <c r="B63" i="1"/>
  <c r="H62" i="1"/>
  <c r="D62" i="1"/>
  <c r="B62" i="1"/>
  <c r="H61" i="1"/>
  <c r="G104" i="1" s="1"/>
  <c r="D61" i="1"/>
  <c r="B61" i="1"/>
  <c r="H60" i="1"/>
  <c r="G60" i="1"/>
  <c r="D60" i="1"/>
  <c r="B60" i="1"/>
  <c r="H59" i="1"/>
  <c r="G214" i="1" s="1"/>
  <c r="G59" i="1"/>
  <c r="D59" i="1"/>
  <c r="B59" i="1"/>
  <c r="H58" i="1"/>
  <c r="G58" i="1"/>
  <c r="D58" i="1"/>
  <c r="B58" i="1"/>
  <c r="H57" i="1"/>
  <c r="G196" i="1" s="1"/>
  <c r="G57" i="1"/>
  <c r="D57" i="1"/>
  <c r="B57" i="1"/>
  <c r="H56" i="1"/>
  <c r="G261" i="1" s="1"/>
  <c r="G56" i="1"/>
  <c r="D56" i="1"/>
  <c r="B56" i="1"/>
  <c r="H55" i="1"/>
  <c r="G150" i="1" s="1"/>
  <c r="G55" i="1"/>
  <c r="D55" i="1"/>
  <c r="B55" i="1"/>
  <c r="H54" i="1"/>
  <c r="G281" i="1" s="1"/>
  <c r="D54" i="1"/>
  <c r="B54" i="1"/>
  <c r="H53" i="1"/>
  <c r="G152" i="1" s="1"/>
  <c r="G53" i="1"/>
  <c r="D53" i="1"/>
  <c r="B53" i="1"/>
  <c r="H52" i="1"/>
  <c r="G54" i="1" s="1"/>
  <c r="G52" i="1"/>
  <c r="D52" i="1"/>
  <c r="B52" i="1"/>
  <c r="H51" i="1"/>
  <c r="G51" i="1"/>
  <c r="D51" i="1"/>
  <c r="B51" i="1"/>
  <c r="H50" i="1"/>
  <c r="G168" i="1" s="1"/>
  <c r="G50" i="1"/>
  <c r="D50" i="1"/>
  <c r="B50" i="1"/>
  <c r="H49" i="1"/>
  <c r="G49" i="1"/>
  <c r="D49" i="1"/>
  <c r="B49" i="1"/>
  <c r="H48" i="1"/>
  <c r="G48" i="1"/>
  <c r="D48" i="1"/>
  <c r="B48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E15" i="1"/>
  <c r="G143" i="1" l="1"/>
  <c r="G88" i="1"/>
  <c r="G94" i="1"/>
  <c r="G155" i="1"/>
  <c r="G154" i="1"/>
  <c r="G129" i="1"/>
  <c r="G117" i="1"/>
  <c r="G165" i="1"/>
  <c r="G161" i="1"/>
  <c r="G238" i="1"/>
  <c r="G246" i="1"/>
  <c r="G253" i="1"/>
  <c r="G163" i="1"/>
  <c r="C280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G227" i="1"/>
  <c r="G125" i="1"/>
  <c r="G266" i="1"/>
  <c r="G267" i="1"/>
  <c r="G172" i="1"/>
  <c r="G134" i="1"/>
  <c r="G259" i="1"/>
  <c r="G120" i="1"/>
  <c r="G114" i="1"/>
  <c r="G236" i="1"/>
  <c r="G65" i="1"/>
  <c r="G61" i="1"/>
  <c r="G116" i="1"/>
  <c r="G179" i="1"/>
  <c r="G70" i="1"/>
  <c r="G69" i="1"/>
  <c r="G277" i="1"/>
  <c r="G218" i="1"/>
  <c r="G170" i="1"/>
  <c r="G181" i="1"/>
  <c r="G202" i="1"/>
  <c r="G192" i="1"/>
  <c r="G206" i="1"/>
  <c r="G109" i="1"/>
  <c r="G257" i="1"/>
  <c r="G226" i="1"/>
  <c r="G237" i="1"/>
  <c r="G141" i="1"/>
  <c r="G187" i="1"/>
  <c r="G176" i="1"/>
  <c r="G118" i="1"/>
  <c r="G216" i="1"/>
  <c r="G173" i="1"/>
  <c r="G138" i="1"/>
  <c r="G264" i="1"/>
  <c r="G146" i="1"/>
  <c r="G251" i="1"/>
  <c r="G228" i="1"/>
  <c r="G73" i="1"/>
  <c r="G222" i="1"/>
  <c r="G271" i="1"/>
  <c r="G224" i="1"/>
  <c r="G121" i="1"/>
  <c r="G256" i="1"/>
  <c r="G245" i="1"/>
  <c r="G248" i="1"/>
  <c r="G280" i="1"/>
  <c r="G157" i="1"/>
  <c r="G164" i="1"/>
  <c r="G105" i="1"/>
  <c r="G158" i="1"/>
  <c r="G92" i="1"/>
  <c r="G221" i="1"/>
  <c r="G215" i="1"/>
  <c r="G258" i="1"/>
  <c r="G148" i="1"/>
  <c r="G205" i="1"/>
  <c r="G183" i="1"/>
  <c r="G232" i="1"/>
  <c r="G89" i="1"/>
  <c r="G254" i="1"/>
  <c r="G188" i="1"/>
  <c r="G278" i="1"/>
  <c r="G149" i="1"/>
  <c r="G244" i="1"/>
  <c r="G269" i="1"/>
  <c r="G234" i="1"/>
  <c r="G268" i="1"/>
  <c r="G225" i="1"/>
  <c r="G193" i="1"/>
  <c r="C279" i="1"/>
  <c r="C275" i="1"/>
  <c r="C274" i="1"/>
  <c r="C276" i="1"/>
  <c r="C277" i="1"/>
  <c r="C278" i="1"/>
  <c r="K221" i="2"/>
  <c r="K220" i="2"/>
  <c r="K219" i="2"/>
  <c r="K218" i="2"/>
  <c r="K207" i="2"/>
  <c r="K201" i="2"/>
  <c r="K200" i="2"/>
  <c r="K197" i="2"/>
  <c r="K196" i="2"/>
  <c r="K193" i="2"/>
  <c r="K188" i="2"/>
  <c r="K185" i="2"/>
  <c r="K180" i="2"/>
  <c r="K145" i="2"/>
  <c r="K144" i="2"/>
  <c r="K131" i="2"/>
  <c r="K127" i="2"/>
  <c r="K123" i="2"/>
  <c r="K115" i="2"/>
  <c r="K108" i="2"/>
  <c r="K99" i="2"/>
  <c r="K72" i="2"/>
  <c r="K68" i="2"/>
  <c r="K47" i="2"/>
  <c r="K38" i="2"/>
  <c r="K158" i="2"/>
  <c r="K157" i="2"/>
  <c r="K156" i="2"/>
  <c r="K155" i="2"/>
  <c r="K154" i="2"/>
  <c r="K153" i="2"/>
  <c r="K152" i="2"/>
  <c r="K151" i="2"/>
  <c r="K150" i="2"/>
  <c r="K149" i="2"/>
  <c r="K148" i="2"/>
  <c r="K137" i="2"/>
  <c r="K135" i="2"/>
  <c r="K134" i="2"/>
  <c r="K130" i="2"/>
  <c r="K120" i="2"/>
  <c r="K116" i="2"/>
  <c r="K110" i="2"/>
  <c r="K101" i="2"/>
  <c r="K65" i="2"/>
  <c r="K61" i="2"/>
  <c r="K51" i="2"/>
  <c r="K3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66" i="2"/>
  <c r="K62" i="2"/>
  <c r="K57" i="2"/>
  <c r="K54" i="2"/>
  <c r="K49" i="2"/>
  <c r="K48" i="2"/>
  <c r="K40" i="2"/>
  <c r="K34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6" i="2"/>
  <c r="K4" i="2"/>
  <c r="K234" i="2"/>
  <c r="K229" i="2"/>
  <c r="K215" i="2"/>
  <c r="K206" i="2"/>
  <c r="K189" i="2"/>
  <c r="K183" i="2"/>
  <c r="K177" i="2"/>
  <c r="K174" i="2"/>
  <c r="K171" i="2"/>
  <c r="K170" i="2"/>
  <c r="K167" i="2"/>
  <c r="K164" i="2"/>
  <c r="K163" i="2"/>
  <c r="K162" i="2"/>
  <c r="K141" i="2"/>
  <c r="K140" i="2"/>
  <c r="K136" i="2"/>
  <c r="K128" i="2"/>
  <c r="K124" i="2"/>
  <c r="K119" i="2"/>
  <c r="K111" i="2"/>
  <c r="K103" i="2"/>
  <c r="K69" i="2"/>
  <c r="K63" i="2"/>
  <c r="K59" i="2"/>
  <c r="K53" i="2"/>
  <c r="K9" i="2"/>
  <c r="K5" i="2"/>
  <c r="K3" i="2"/>
  <c r="K233" i="2"/>
  <c r="K232" i="2"/>
  <c r="K226" i="2"/>
  <c r="K225" i="2"/>
  <c r="K209" i="2"/>
  <c r="K205" i="2"/>
  <c r="K202" i="2"/>
  <c r="K191" i="2"/>
  <c r="K168" i="2"/>
  <c r="K165" i="2"/>
  <c r="K129" i="2"/>
  <c r="K125" i="2"/>
  <c r="K109" i="2"/>
  <c r="K106" i="2"/>
  <c r="K50" i="2"/>
  <c r="K46" i="2"/>
  <c r="K44" i="2"/>
  <c r="K43" i="2"/>
  <c r="K8" i="2"/>
  <c r="K194" i="2"/>
  <c r="K190" i="2"/>
  <c r="K187" i="2"/>
  <c r="K184" i="2"/>
  <c r="K181" i="2"/>
  <c r="K178" i="2"/>
  <c r="K175" i="2"/>
  <c r="K172" i="2"/>
  <c r="K147" i="2"/>
  <c r="K143" i="2"/>
  <c r="K139" i="2"/>
  <c r="K133" i="2"/>
  <c r="K118" i="2"/>
  <c r="K112" i="2"/>
  <c r="K102" i="2"/>
  <c r="K64" i="2"/>
  <c r="K60" i="2"/>
  <c r="K55" i="2"/>
  <c r="K45" i="2"/>
  <c r="K41" i="2"/>
  <c r="K37" i="2"/>
  <c r="K10" i="2"/>
  <c r="K231" i="2"/>
  <c r="K214" i="2"/>
  <c r="K213" i="2"/>
  <c r="K212" i="2"/>
  <c r="K211" i="2"/>
  <c r="K210" i="2"/>
  <c r="K204" i="2"/>
  <c r="K192" i="2"/>
  <c r="K182" i="2"/>
  <c r="K179" i="2"/>
  <c r="K176" i="2"/>
  <c r="K169" i="2"/>
  <c r="K166" i="2"/>
  <c r="K161" i="2"/>
  <c r="K132" i="2"/>
  <c r="K114" i="2"/>
  <c r="K105" i="2"/>
  <c r="K104" i="2"/>
  <c r="K100" i="2"/>
  <c r="K70" i="2"/>
  <c r="K2" i="2"/>
  <c r="K230" i="2"/>
  <c r="K228" i="2"/>
  <c r="K227" i="2"/>
  <c r="K224" i="2"/>
  <c r="K217" i="2"/>
  <c r="K216" i="2"/>
  <c r="K208" i="2"/>
  <c r="K195" i="2"/>
  <c r="K146" i="2"/>
  <c r="K142" i="2"/>
  <c r="K138" i="2"/>
  <c r="K126" i="2"/>
  <c r="K122" i="2"/>
  <c r="K121" i="2"/>
  <c r="K117" i="2"/>
  <c r="K113" i="2"/>
  <c r="K107" i="2"/>
  <c r="K39" i="2"/>
  <c r="K7" i="2"/>
  <c r="K203" i="2"/>
  <c r="K199" i="2"/>
  <c r="K198" i="2"/>
  <c r="K186" i="2"/>
  <c r="K173" i="2"/>
  <c r="K71" i="2"/>
  <c r="K67" i="2"/>
  <c r="K58" i="2"/>
  <c r="K56" i="2"/>
  <c r="K52" i="2"/>
  <c r="K42" i="2"/>
  <c r="K235" i="2"/>
  <c r="K98" i="2"/>
  <c r="C255" i="1"/>
  <c r="C254" i="1"/>
  <c r="C253" i="1"/>
  <c r="C200" i="1"/>
  <c r="C199" i="1"/>
  <c r="C198" i="1"/>
  <c r="C197" i="1"/>
  <c r="C196" i="1"/>
  <c r="C195" i="1"/>
  <c r="K236" i="2"/>
  <c r="K160" i="2"/>
  <c r="K97" i="2"/>
  <c r="K35" i="2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34" i="1"/>
  <c r="C133" i="1"/>
  <c r="C132" i="1"/>
  <c r="C131" i="1"/>
  <c r="C130" i="1"/>
  <c r="C129" i="1"/>
  <c r="C128" i="1"/>
  <c r="C127" i="1"/>
  <c r="C110" i="1"/>
  <c r="C109" i="1"/>
  <c r="C108" i="1"/>
  <c r="C67" i="1"/>
  <c r="C66" i="1"/>
  <c r="C25" i="1"/>
  <c r="K223" i="2"/>
  <c r="K222" i="2"/>
  <c r="K159" i="2"/>
  <c r="K96" i="2"/>
  <c r="K33" i="2"/>
  <c r="C238" i="1"/>
  <c r="C237" i="1"/>
  <c r="C236" i="1"/>
  <c r="C233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106" i="1"/>
  <c r="C104" i="1"/>
  <c r="C102" i="1"/>
  <c r="C100" i="1"/>
  <c r="C99" i="1"/>
  <c r="C97" i="1"/>
  <c r="C94" i="1"/>
  <c r="C92" i="1"/>
  <c r="C90" i="1"/>
  <c r="C88" i="1"/>
  <c r="C86" i="1"/>
  <c r="C84" i="1"/>
  <c r="C82" i="1"/>
  <c r="C80" i="1"/>
  <c r="C78" i="1"/>
  <c r="C182" i="1"/>
  <c r="C181" i="1"/>
  <c r="C180" i="1"/>
  <c r="C179" i="1"/>
  <c r="C175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07" i="1"/>
  <c r="C105" i="1"/>
  <c r="C103" i="1"/>
  <c r="C101" i="1"/>
  <c r="C98" i="1"/>
  <c r="C96" i="1"/>
  <c r="C95" i="1"/>
  <c r="C93" i="1"/>
  <c r="C91" i="1"/>
  <c r="C89" i="1"/>
  <c r="C87" i="1"/>
  <c r="C85" i="1"/>
  <c r="C83" i="1"/>
  <c r="C81" i="1"/>
  <c r="C79" i="1"/>
  <c r="C77" i="1"/>
  <c r="C126" i="1"/>
  <c r="C125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G210" i="1"/>
  <c r="G249" i="1"/>
  <c r="C69" i="1"/>
  <c r="G151" i="1"/>
  <c r="G263" i="1"/>
  <c r="G252" i="1"/>
  <c r="G162" i="1"/>
  <c r="G63" i="1"/>
  <c r="G171" i="1"/>
  <c r="G167" i="1"/>
  <c r="C235" i="1"/>
  <c r="C234" i="1"/>
  <c r="G229" i="1"/>
  <c r="G204" i="1"/>
  <c r="G198" i="1"/>
  <c r="C178" i="1"/>
  <c r="G208" i="1"/>
  <c r="C177" i="1"/>
  <c r="G197" i="1"/>
  <c r="C124" i="1"/>
  <c r="G142" i="1"/>
  <c r="G123" i="1"/>
  <c r="G122" i="1"/>
  <c r="G71" i="1"/>
  <c r="G115" i="1"/>
  <c r="G241" i="1"/>
  <c r="G174" i="1"/>
  <c r="G127" i="1"/>
  <c r="C76" i="1"/>
  <c r="C71" i="1"/>
  <c r="C70" i="1"/>
  <c r="G240" i="1"/>
  <c r="G233" i="1"/>
  <c r="G119" i="1"/>
  <c r="G68" i="1"/>
  <c r="G72" i="1"/>
  <c r="G145" i="1"/>
  <c r="G235" i="1"/>
  <c r="G135" i="1"/>
  <c r="G219" i="1"/>
  <c r="G147" i="1"/>
  <c r="C232" i="1"/>
  <c r="C231" i="1"/>
  <c r="C230" i="1"/>
  <c r="C229" i="1"/>
  <c r="G260" i="1"/>
  <c r="C176" i="1"/>
  <c r="G275" i="1"/>
  <c r="C174" i="1"/>
  <c r="G270" i="1"/>
  <c r="C173" i="1"/>
  <c r="C123" i="1"/>
  <c r="G262" i="1"/>
  <c r="C75" i="1"/>
  <c r="C74" i="1"/>
  <c r="C73" i="1"/>
  <c r="C72" i="1"/>
  <c r="C68" i="1"/>
  <c r="G276" i="1"/>
  <c r="G126" i="1"/>
  <c r="G212" i="1"/>
  <c r="G177" i="1"/>
  <c r="G185" i="1"/>
  <c r="G186" i="1"/>
  <c r="E19" i="1"/>
  <c r="G133" i="1"/>
  <c r="G250" i="1"/>
  <c r="G144" i="1"/>
  <c r="G265" i="1"/>
  <c r="G132" i="1"/>
  <c r="G180" i="1"/>
  <c r="G130" i="1"/>
  <c r="G255" i="1"/>
  <c r="G75" i="1"/>
  <c r="E18" i="1"/>
  <c r="E44" i="1"/>
  <c r="F44" i="1"/>
  <c r="G44" i="1"/>
  <c r="H44" i="1"/>
  <c r="F43" i="1"/>
  <c r="G43" i="1"/>
  <c r="H43" i="1"/>
  <c r="E43" i="1"/>
  <c r="H42" i="1"/>
  <c r="G42" i="1"/>
  <c r="F42" i="1"/>
  <c r="E42" i="1"/>
  <c r="H41" i="1"/>
  <c r="G41" i="1"/>
  <c r="F41" i="1"/>
  <c r="E41" i="1"/>
  <c r="H40" i="1"/>
  <c r="G40" i="1"/>
  <c r="F40" i="1"/>
  <c r="E40" i="1"/>
  <c r="E39" i="1"/>
  <c r="H39" i="1"/>
  <c r="G39" i="1"/>
  <c r="F39" i="1"/>
  <c r="G38" i="1"/>
  <c r="E38" i="1"/>
  <c r="F38" i="1"/>
  <c r="H38" i="1"/>
  <c r="F37" i="1"/>
  <c r="G37" i="1"/>
  <c r="H37" i="1"/>
  <c r="E37" i="1"/>
  <c r="F36" i="1"/>
  <c r="G36" i="1"/>
  <c r="H36" i="1"/>
  <c r="E36" i="1"/>
  <c r="E35" i="1"/>
  <c r="F35" i="1"/>
  <c r="H35" i="1"/>
  <c r="G35" i="1"/>
  <c r="E34" i="1"/>
  <c r="G34" i="1"/>
  <c r="H34" i="1"/>
  <c r="F34" i="1"/>
  <c r="H33" i="1"/>
  <c r="G33" i="1"/>
  <c r="F33" i="1"/>
  <c r="E33" i="1"/>
  <c r="H32" i="1"/>
  <c r="G32" i="1"/>
  <c r="F32" i="1"/>
  <c r="E32" i="1"/>
  <c r="G31" i="1"/>
  <c r="E31" i="1"/>
  <c r="F31" i="1"/>
  <c r="H31" i="1"/>
  <c r="H30" i="1"/>
  <c r="G30" i="1"/>
  <c r="F30" i="1"/>
  <c r="E30" i="1"/>
  <c r="E29" i="1"/>
  <c r="G29" i="1"/>
  <c r="F29" i="1"/>
  <c r="H29" i="1"/>
  <c r="H28" i="1"/>
  <c r="G28" i="1"/>
  <c r="F28" i="1"/>
  <c r="E28" i="1"/>
  <c r="H27" i="1"/>
  <c r="G27" i="1"/>
  <c r="F27" i="1"/>
  <c r="E27" i="1"/>
  <c r="G26" i="1"/>
  <c r="F26" i="1"/>
  <c r="E26" i="1"/>
  <c r="H26" i="1"/>
  <c r="H25" i="1"/>
  <c r="E25" i="1"/>
  <c r="D27" i="1"/>
  <c r="D26" i="1"/>
  <c r="E17" i="1" l="1"/>
  <c r="D25" i="1"/>
  <c r="F25" i="1"/>
  <c r="G25" i="1" s="1"/>
  <c r="E16" i="1"/>
</calcChain>
</file>

<file path=xl/sharedStrings.xml><?xml version="1.0" encoding="utf-8"?>
<sst xmlns="http://schemas.openxmlformats.org/spreadsheetml/2006/main" count="557" uniqueCount="85">
  <si>
    <t>CaseMetrology | OAL screening — mixed bag / bin</t>
  </si>
  <si>
    <t>1. Save this .xlsx locally. Light-blue cells are entry fields; gray cells are fixed values or formulas.</t>
  </si>
  <si>
    <t>2. Sessions: use one new row per session. Enter a unique session ID, date and actual start/end timestamps.</t>
  </si>
  <si>
    <t>3. Record five pre-check and five post-check readings, removing and repositioning the block each time.</t>
  </si>
  <si>
    <t>4. Take any case from the bag. On the next row enter B (etched ID), C (verified), D (inches), F (time), I (session), P (notes).</t>
  </si>
  <si>
    <t>5. Date, operator and reference means fill from the matching session. Do not edit a completed session to start another.</t>
  </si>
  <si>
    <t>6. Put each measured case in a separate tray. Preserve all readings; leave selection/classification decisions for review.</t>
  </si>
  <si>
    <t>7. Record temperatures, times, units, meter/probe identities and abnormalities in session notes or the existing environment record.</t>
  </si>
  <si>
    <t>8. Numerical checks below are not authorization. Enter session_status only after the required human review.</t>
  </si>
  <si>
    <t>9. Save .xlsx often. Return it here for CSV export and Nano audit; no macros or automatic timestamps are used.</t>
  </si>
  <si>
    <t>Rows record actual collection order, not a preset ID order. Do not sort or edit gray cells. Sheets are not locked.</t>
  </si>
  <si>
    <t>Fixed reference / rule</t>
  </si>
  <si>
    <t>Value</t>
  </si>
  <si>
    <t>Progress / entry checks</t>
  </si>
  <si>
    <t>Operator</t>
  </si>
  <si>
    <t>Timmy D. Bell</t>
  </si>
  <si>
    <t>Numeric readings</t>
  </si>
  <si>
    <t>Caliper serial</t>
  </si>
  <si>
    <t>B24254849</t>
  </si>
  <si>
    <t>IDs still unmeasured</t>
  </si>
  <si>
    <t>Certified reference (in)</t>
  </si>
  <si>
    <t>Rows needing attention</t>
  </si>
  <si>
    <t>Expected display (in)</t>
  </si>
  <si>
    <t>Duplicate-ID rows</t>
  </si>
  <si>
    <t>E_limit (in)</t>
  </si>
  <si>
    <t>Sequence changes</t>
  </si>
  <si>
    <t>R_limit (in)</t>
  </si>
  <si>
    <t>Order: screening protocol 2026-08-09, sections 2 and 4 (any/arbitrary order), supplied by operator. CSV columns retained. Limits: d66085e. Caliper DDJ25P23P; block 253568 / T26A06624. Earlier pre-use readings are not copied into screening sessions.</t>
  </si>
  <si>
    <t>D_limit (in)</t>
  </si>
  <si>
    <t>Readings per check</t>
  </si>
  <si>
    <t>Session ID</t>
  </si>
  <si>
    <t>Pre E (in)</t>
  </si>
  <si>
    <t>Post E (in)</t>
  </si>
  <si>
    <t>Drift (in)</t>
  </si>
  <si>
    <t>Pre numerical</t>
  </si>
  <si>
    <t>Post numerical</t>
  </si>
  <si>
    <t>Overall numerical</t>
  </si>
  <si>
    <t>Entry / review</t>
  </si>
  <si>
    <t>Entry sequence</t>
  </si>
  <si>
    <t>ID check</t>
  </si>
  <si>
    <t>Entry flag</t>
  </si>
  <si>
    <t>Sequence check</t>
  </si>
  <si>
    <t>Expected ID</t>
  </si>
  <si>
    <t>Numeric readings for ID</t>
  </si>
  <si>
    <t>Numeric entry indicator</t>
  </si>
  <si>
    <t>screening_sequence</t>
  </si>
  <si>
    <t>part_id</t>
  </si>
  <si>
    <t>laser_etched_id_verified</t>
  </si>
  <si>
    <t>screening_reading_in</t>
  </si>
  <si>
    <t>screening_date</t>
  </si>
  <si>
    <t>screening_time</t>
  </si>
  <si>
    <t>screening_operator</t>
  </si>
  <si>
    <t>caliper_serial_number</t>
  </si>
  <si>
    <t>session_id</t>
  </si>
  <si>
    <t>pre_session_reference_mean_in</t>
  </si>
  <si>
    <t>post_session_reference_mean_in</t>
  </si>
  <si>
    <t>screening_class</t>
  </si>
  <si>
    <t>selected_for_validation</t>
  </si>
  <si>
    <t>selection_stratum</t>
  </si>
  <si>
    <t>repeat_required</t>
  </si>
  <si>
    <t>notes</t>
  </si>
  <si>
    <t>session_date</t>
  </si>
  <si>
    <t>session_start_time</t>
  </si>
  <si>
    <t>session_end_time</t>
  </si>
  <si>
    <t>operator</t>
  </si>
  <si>
    <t>reference_standard_in</t>
  </si>
  <si>
    <t>pre_1_in</t>
  </si>
  <si>
    <t>pre_2_in</t>
  </si>
  <si>
    <t>pre_3_in</t>
  </si>
  <si>
    <t>pre_4_in</t>
  </si>
  <si>
    <t>pre_5_in</t>
  </si>
  <si>
    <t>pre_mean_in</t>
  </si>
  <si>
    <t>pre_range_in</t>
  </si>
  <si>
    <t>post_1_in</t>
  </si>
  <si>
    <t>post_2_in</t>
  </si>
  <si>
    <t>post_3_in</t>
  </si>
  <si>
    <t>post_4_in</t>
  </si>
  <si>
    <t>post_5_in</t>
  </si>
  <si>
    <t>post_mean_in</t>
  </si>
  <si>
    <t>post_range_in</t>
  </si>
  <si>
    <t>session_status</t>
  </si>
  <si>
    <t>5:21 PM</t>
  </si>
  <si>
    <t>yes</t>
  </si>
  <si>
    <t xml:space="preserve">Before case screening, after pre-check: room 73.7 F at 2026-09-03T17:27:24-05:00; gauge-block surface 74.4 F at 2026-09-03T17:28:58-05:00.         Post-session:
Room temperature: 74.4 F at 2026-09-03T19:36:29-05:00
Gauge-block surface temperature: 74.7 F at 2026-09-03T19:38:16-05:00 
Temperature readings settled: yes
Caliper closed-jaw zero: 0.0000 in
Equipment/environmental abnormalities: none
Measurement issues or interruptions: none
Final session disposition: pending review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</si>
  <si>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7:38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</si>
</sst>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0000"/>
    <numFmt numFmtId="166" formatCode="yyyy\-mm\-dd"/>
    <numFmt numFmtId="167" formatCode="hh:mm:ss"/>
  </numFmts>
  <fonts count="4">
    <font>
      <sz val="11"/>
      <name val="Carlito"/>
    </font>
    <font>
      <sz val="11"/>
      <color rgb="FF223746"/>
      <name val="Calibri"/>
    </font>
    <font>
      <b/>
      <sz val="11"/>
      <color rgb="FFFFFFFF"/>
      <name val="Calibri"/>
    </font>
    <font>
      <b/>
      <sz val="18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93B50"/>
      </patternFill>
    </fill>
    <fill>
      <patternFill patternType="solid">
        <fgColor rgb="FFEDF0F2"/>
      </patternFill>
    </fill>
    <fill>
      <patternFill patternType="solid">
        <fgColor rgb="FFEAF3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1" fillId="3" borderId="0" xfId="0" applyFont="1" applyFill="1"/>
    <xf numFmtId="0" fontId="1" fillId="4" borderId="0" xfId="0" applyFont="1" applyFill="1"/>
    <xf numFmtId="1" fontId="1" fillId="4" borderId="0" xfId="0" applyNumberFormat="1" applyFont="1" applyFill="1"/>
    <xf numFmtId="164" fontId="1" fillId="4" borderId="0" xfId="0" applyNumberFormat="1" applyFont="1" applyFill="1"/>
    <xf numFmtId="165" fontId="1" fillId="3" borderId="0" xfId="0" applyNumberFormat="1" applyFont="1" applyFill="1"/>
    <xf numFmtId="166" fontId="1" fillId="3" borderId="0" xfId="0" applyNumberFormat="1" applyFont="1" applyFill="1"/>
    <xf numFmtId="167" fontId="1" fillId="4" borderId="0" xfId="0" applyNumberFormat="1" applyFont="1" applyFill="1"/>
    <xf numFmtId="166" fontId="1" fillId="4" borderId="0" xfId="0" applyNumberFormat="1" applyFont="1" applyFill="1"/>
    <xf numFmtId="49" fontId="1" fillId="4" borderId="0" xfId="0" applyNumberFormat="1" applyFont="1" applyFill="1"/>
    <xf numFmtId="165" fontId="1" fillId="0" borderId="0" xfId="0" applyNumberFormat="1" applyFont="1"/>
    <xf numFmtId="164" fontId="1" fillId="0" borderId="0" xfId="0" applyNumberFormat="1" applyFont="1"/>
    <xf numFmtId="0" fontId="1" fillId="4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2" fillId="2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</cellXfs>
  <cellStyles count="1">
    <cellStyle name="Normal" xfId="0" builtinId="0"/>
  </cellStyles>
  <dxfs count="10">
    <dxf>
      <fill>
        <patternFill patternType="solid">
          <bgColor rgb="FFFFC9C9"/>
        </patternFill>
      </fill>
    </dxf>
    <dxf>
      <fill>
        <patternFill patternType="solid">
          <bgColor rgb="FFFFC9C9"/>
        </patternFill>
      </fill>
    </dxf>
    <dxf>
      <fill>
        <patternFill patternType="solid">
          <bgColor rgb="FFFFE4D6"/>
        </patternFill>
      </fill>
    </dxf>
    <dxf>
      <fill>
        <patternFill patternType="solid">
          <bgColor rgb="FFFFE4D6"/>
        </patternFill>
      </fill>
    </dxf>
    <dxf>
      <fill>
        <patternFill patternType="solid">
          <bgColor rgb="FFFFC9C9"/>
        </patternFill>
      </fill>
    </dxf>
    <dxf>
      <fill>
        <patternFill patternType="solid">
          <bgColor rgb="FFDDEEE8"/>
        </patternFill>
      </fill>
    </dxf>
    <dxf>
      <fill>
        <patternFill patternType="solid">
          <bgColor rgb="FFFFC9C9"/>
        </patternFill>
      </fill>
    </dxf>
    <dxf>
      <fill>
        <patternFill patternType="solid">
          <bgColor rgb="FFFFC9C9"/>
        </patternFill>
      </fill>
    </dxf>
    <dxf>
      <fill>
        <patternFill patternType="solid">
          <bgColor rgb="FFFFE4D6"/>
        </patternFill>
      </fill>
    </dxf>
    <dxf>
      <fill>
        <patternFill patternType="solid">
          <bgColor rgb="FFFFC9C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2"/>
  <sheetViews>
    <sheetView showGridLines="0" tabSelected="1" topLeftCell="A10" workbookViewId="0">
      <selection sqref="A1:H1"/>
    </sheetView>
  </sheetViews>
  <sheetFormatPr defaultRowHeight="14.25"/>
  <cols>
    <col min="1" max="1" width="31" customWidth="1"/>
    <col min="2" max="2" width="24" customWidth="1"/>
    <col min="3" max="3" width="20" customWidth="1"/>
    <col min="4" max="4" width="29" customWidth="1"/>
    <col min="5" max="8" width="20" customWidth="1"/>
  </cols>
  <sheetData>
    <row r="1" spans="1:8" ht="33.950000000000003" customHeight="1">
      <c r="A1" s="17" t="s">
        <v>0</v>
      </c>
      <c r="B1" s="16"/>
      <c r="C1" s="16"/>
      <c r="D1" s="16"/>
      <c r="E1" s="16"/>
      <c r="F1" s="16"/>
      <c r="G1" s="16"/>
      <c r="H1" s="16"/>
    </row>
    <row r="2" spans="1:8" ht="23.1" customHeight="1">
      <c r="A2" s="1"/>
      <c r="B2" s="1"/>
      <c r="C2" s="1"/>
      <c r="D2" s="1"/>
      <c r="E2" s="1"/>
      <c r="F2" s="1"/>
      <c r="G2" s="1"/>
      <c r="H2" s="1"/>
    </row>
    <row r="3" spans="1:8" ht="30.95" customHeight="1">
      <c r="A3" s="15" t="s">
        <v>1</v>
      </c>
      <c r="B3" s="15"/>
      <c r="C3" s="15"/>
      <c r="D3" s="15"/>
      <c r="E3" s="15"/>
      <c r="F3" s="15"/>
      <c r="G3" s="15"/>
      <c r="H3" s="15"/>
    </row>
    <row r="4" spans="1:8" ht="30.95" customHeight="1">
      <c r="A4" s="15" t="s">
        <v>2</v>
      </c>
      <c r="B4" s="15"/>
      <c r="C4" s="15"/>
      <c r="D4" s="15"/>
      <c r="E4" s="15"/>
      <c r="F4" s="15"/>
      <c r="G4" s="15"/>
      <c r="H4" s="15"/>
    </row>
    <row r="5" spans="1:8" ht="30.95" customHeight="1">
      <c r="A5" s="15" t="s">
        <v>3</v>
      </c>
      <c r="B5" s="15"/>
      <c r="C5" s="15"/>
      <c r="D5" s="15"/>
      <c r="E5" s="15"/>
      <c r="F5" s="15"/>
      <c r="G5" s="15"/>
      <c r="H5" s="15"/>
    </row>
    <row r="6" spans="1:8" ht="30.95" customHeight="1">
      <c r="A6" s="15" t="s">
        <v>4</v>
      </c>
      <c r="B6" s="15"/>
      <c r="C6" s="15"/>
      <c r="D6" s="15"/>
      <c r="E6" s="15"/>
      <c r="F6" s="15"/>
      <c r="G6" s="15"/>
      <c r="H6" s="15"/>
    </row>
    <row r="7" spans="1:8" ht="30.95" customHeight="1">
      <c r="A7" s="15" t="s">
        <v>5</v>
      </c>
      <c r="B7" s="15"/>
      <c r="C7" s="15"/>
      <c r="D7" s="15"/>
      <c r="E7" s="15"/>
      <c r="F7" s="15"/>
      <c r="G7" s="15"/>
      <c r="H7" s="15"/>
    </row>
    <row r="8" spans="1:8" ht="30.95" customHeight="1">
      <c r="A8" s="15" t="s">
        <v>6</v>
      </c>
      <c r="B8" s="15"/>
      <c r="C8" s="15"/>
      <c r="D8" s="15"/>
      <c r="E8" s="15"/>
      <c r="F8" s="15"/>
      <c r="G8" s="15"/>
      <c r="H8" s="15"/>
    </row>
    <row r="9" spans="1:8" ht="30.95" customHeight="1">
      <c r="A9" s="15" t="s">
        <v>7</v>
      </c>
      <c r="B9" s="15"/>
      <c r="C9" s="15"/>
      <c r="D9" s="15"/>
      <c r="E9" s="15"/>
      <c r="F9" s="15"/>
      <c r="G9" s="15"/>
      <c r="H9" s="15"/>
    </row>
    <row r="10" spans="1:8" ht="30.95" customHeight="1">
      <c r="A10" s="15" t="s">
        <v>8</v>
      </c>
      <c r="B10" s="15"/>
      <c r="C10" s="15"/>
      <c r="D10" s="15"/>
      <c r="E10" s="15"/>
      <c r="F10" s="15"/>
      <c r="G10" s="15"/>
      <c r="H10" s="15"/>
    </row>
    <row r="11" spans="1:8" ht="30.95" customHeight="1">
      <c r="A11" s="15" t="s">
        <v>9</v>
      </c>
      <c r="B11" s="15"/>
      <c r="C11" s="15"/>
      <c r="D11" s="15"/>
      <c r="E11" s="15"/>
      <c r="F11" s="15"/>
      <c r="G11" s="15"/>
      <c r="H11" s="15"/>
    </row>
    <row r="12" spans="1:8" ht="30.95" customHeight="1">
      <c r="A12" s="15" t="s">
        <v>10</v>
      </c>
      <c r="B12" s="15"/>
      <c r="C12" s="15"/>
      <c r="D12" s="15"/>
      <c r="E12" s="15"/>
      <c r="F12" s="15"/>
      <c r="G12" s="15"/>
      <c r="H12" s="15"/>
    </row>
    <row r="13" spans="1:8" ht="23.1" customHeight="1">
      <c r="A13" s="1"/>
      <c r="B13" s="1"/>
      <c r="C13" s="1"/>
      <c r="D13" s="1"/>
      <c r="E13" s="1"/>
      <c r="F13" s="1"/>
      <c r="G13" s="1"/>
      <c r="H13" s="1"/>
    </row>
    <row r="14" spans="1:8" ht="27.95" customHeight="1">
      <c r="A14" s="2" t="s">
        <v>11</v>
      </c>
      <c r="B14" s="2" t="s">
        <v>12</v>
      </c>
      <c r="C14" s="1"/>
      <c r="D14" s="16" t="s">
        <v>13</v>
      </c>
      <c r="E14" s="16"/>
      <c r="F14" s="16"/>
      <c r="G14" s="16"/>
      <c r="H14" s="16"/>
    </row>
    <row r="15" spans="1:8" ht="23.1" customHeight="1">
      <c r="A15" s="1" t="s">
        <v>14</v>
      </c>
      <c r="B15" s="1" t="s">
        <v>15</v>
      </c>
      <c r="C15" s="1"/>
      <c r="D15" s="1" t="s">
        <v>16</v>
      </c>
      <c r="E15" s="1">
        <f>COUNT(Screening!D2:D236)</f>
        <v>235</v>
      </c>
      <c r="F15" s="1"/>
      <c r="G15" s="1"/>
      <c r="H15" s="1"/>
    </row>
    <row r="16" spans="1:8" ht="23.1" customHeight="1">
      <c r="A16" s="1" t="s">
        <v>17</v>
      </c>
      <c r="B16" s="1" t="s">
        <v>18</v>
      </c>
      <c r="C16" s="1"/>
      <c r="D16" s="1" t="s">
        <v>19</v>
      </c>
      <c r="E16" s="1">
        <f>COUNTIF(G48:G282,0)</f>
        <v>0</v>
      </c>
      <c r="F16" s="1"/>
      <c r="G16" s="1"/>
      <c r="H16" s="1"/>
    </row>
    <row r="17" spans="1:8" ht="23.1" customHeight="1">
      <c r="A17" s="1" t="s">
        <v>20</v>
      </c>
      <c r="B17" s="12">
        <v>1.0000024000000001</v>
      </c>
      <c r="C17" s="1"/>
      <c r="D17" s="1" t="s">
        <v>21</v>
      </c>
      <c r="E17" s="1">
        <f>COUNTIF(C48:C282,"REVIEW")</f>
        <v>0</v>
      </c>
      <c r="F17" s="1"/>
      <c r="G17" s="1"/>
      <c r="H17" s="1"/>
    </row>
    <row r="18" spans="1:8" ht="23.1" customHeight="1">
      <c r="A18" s="1" t="s">
        <v>22</v>
      </c>
      <c r="B18" s="13">
        <v>1</v>
      </c>
      <c r="C18" s="1"/>
      <c r="D18" s="1" t="s">
        <v>23</v>
      </c>
      <c r="E18" s="1">
        <f>COUNTIF(B48:B282,"DUPLICATE")</f>
        <v>0</v>
      </c>
      <c r="F18" s="1"/>
      <c r="G18" s="1"/>
      <c r="H18" s="1"/>
    </row>
    <row r="19" spans="1:8" ht="23.1" customHeight="1">
      <c r="A19" s="1" t="s">
        <v>24</v>
      </c>
      <c r="B19" s="13">
        <v>5.0000000000000001E-4</v>
      </c>
      <c r="C19" s="1"/>
      <c r="D19" s="1" t="s">
        <v>25</v>
      </c>
      <c r="E19" s="1">
        <f>COUNTIF(D48:D282,"CHANGED")</f>
        <v>0</v>
      </c>
      <c r="F19" s="1"/>
      <c r="G19" s="1"/>
      <c r="H19" s="1"/>
    </row>
    <row r="20" spans="1:8" ht="23.1" customHeight="1">
      <c r="A20" s="1" t="s">
        <v>26</v>
      </c>
      <c r="B20" s="13">
        <v>5.0000000000000001E-4</v>
      </c>
      <c r="C20" s="1"/>
      <c r="D20" s="15" t="s">
        <v>27</v>
      </c>
      <c r="E20" s="15"/>
      <c r="F20" s="15"/>
      <c r="G20" s="15"/>
      <c r="H20" s="15"/>
    </row>
    <row r="21" spans="1:8" ht="23.1" customHeight="1">
      <c r="A21" s="1" t="s">
        <v>28</v>
      </c>
      <c r="B21" s="13">
        <v>5.0000000000000001E-4</v>
      </c>
      <c r="C21" s="1"/>
      <c r="D21" s="15"/>
      <c r="E21" s="15"/>
      <c r="F21" s="15"/>
      <c r="G21" s="15"/>
      <c r="H21" s="15"/>
    </row>
    <row r="22" spans="1:8" ht="23.1" customHeight="1">
      <c r="A22" s="1" t="s">
        <v>29</v>
      </c>
      <c r="B22" s="1">
        <v>5</v>
      </c>
      <c r="C22" s="1"/>
      <c r="D22" s="15"/>
      <c r="E22" s="15"/>
      <c r="F22" s="15"/>
      <c r="G22" s="15"/>
      <c r="H22" s="15"/>
    </row>
    <row r="23" spans="1:8" ht="23.1" customHeight="1">
      <c r="A23" s="1"/>
      <c r="B23" s="1"/>
      <c r="C23" s="1"/>
      <c r="D23" s="1"/>
      <c r="E23" s="1"/>
      <c r="F23" s="1"/>
      <c r="G23" s="1"/>
      <c r="H23" s="1"/>
    </row>
    <row r="24" spans="1:8" ht="57.95" customHeight="1">
      <c r="A24" s="2" t="s">
        <v>30</v>
      </c>
      <c r="B24" s="2" t="s">
        <v>31</v>
      </c>
      <c r="C24" s="2" t="s">
        <v>32</v>
      </c>
      <c r="D24" s="2" t="s">
        <v>33</v>
      </c>
      <c r="E24" s="2" t="s">
        <v>34</v>
      </c>
      <c r="F24" s="2" t="s">
        <v>35</v>
      </c>
      <c r="G24" s="2" t="s">
        <v>36</v>
      </c>
      <c r="H24" s="2" t="s">
        <v>37</v>
      </c>
    </row>
    <row r="25" spans="1:8" ht="23.1" customHeight="1">
      <c r="A25" s="3">
        <f>IF(Sessions!A2="","",Sessions!A2)</f>
        <v>1</v>
      </c>
      <c r="B25" s="7">
        <f>IF(Sessions!M2="","",Sessions!M2-$B$18)</f>
        <v>0</v>
      </c>
      <c r="C25" s="7">
        <f>IF(Sessions!T2="","",Sessions!T2-$B$18)</f>
        <v>0</v>
      </c>
      <c r="D25" s="7">
        <f>IF(AND(ISNUMBER(B25),ISNUMBER(C25)),Sessions!T2-Sessions!M2,"")</f>
        <v>0</v>
      </c>
      <c r="E25" s="3" t="str">
        <f>IF(A25="","",IF(NOT(ISNUMBER(B25)),"INCOMPLETE",IF(AND(ROUND(ABS(B25),10)&lt;=$B$19,ROUND(Sessions!N2,10)&lt;=$B$20),"WITHIN LIMITS","FAIL")))</f>
        <v>WITHIN LIMITS</v>
      </c>
      <c r="F25" s="3" t="str">
        <f>IF(A25="","",IF(NOT(ISNUMBER(C25)),"INCOMPLETE",IF(AND(ROUND(ABS(C25),10)&lt;=$B$19,ROUND(Sessions!U2,10)&lt;=$B$20),"WITHIN LIMITS","FAIL")))</f>
        <v>WITHIN LIMITS</v>
      </c>
      <c r="G25" s="3" t="str">
        <f t="shared" ref="G25:G44" si="0">IF(A25="","",IF(OR(E25="FAIL",F25="FAIL"),"FAIL",IF(NOT(ISNUMBER(D25)),"INCOMPLETE",IF(ROUND(ABS(D25),10)&lt;=$B$21,"WITHIN LIMITS","FAIL"))))</f>
        <v>WITHIN LIMITS</v>
      </c>
      <c r="H25" s="3" t="str">
        <f>IF(A25="","",IF(COUNTIF(Sessions!$A$2:$A$21,A25)&lt;&gt;1,"DUPLICATE ID",IF(OR(Sessions!B2="",Sessions!C2="",Sessions!D2="",Sessions!V2=""),"REVIEW PENDING","AUDIT REQUIRED")))</f>
        <v>REVIEW PENDING</v>
      </c>
    </row>
    <row r="26" spans="1:8" ht="23.1" customHeight="1">
      <c r="A26" s="3" t="str">
        <f>IF(Sessions!A3="","",Sessions!A3)</f>
        <v/>
      </c>
      <c r="B26" s="7" t="str">
        <f>IF(Sessions!M3="","",Sessions!M3-$B$18)</f>
        <v/>
      </c>
      <c r="C26" s="7" t="str">
        <f>IF(Sessions!T3="","",Sessions!T3-$B$18)</f>
        <v/>
      </c>
      <c r="D26" s="7" t="str">
        <f>IF(AND(ISNUMBER(B26),ISNUMBER(C26)),Sessions!T3-Sessions!M3,"")</f>
        <v/>
      </c>
      <c r="E26" s="3" t="str">
        <f>IF(A26="","",IF(NOT(ISNUMBER(B26)),"INCOMPLETE",IF(AND(ROUND(ABS(B26),10)&lt;=$B$19,ROUND(Sessions!N3,10)&lt;=$B$20),"WITHIN LIMITS","FAIL")))</f>
        <v/>
      </c>
      <c r="F26" s="3" t="str">
        <f>IF(A26="","",IF(NOT(ISNUMBER(C26)),"INCOMPLETE",IF(AND(ROUND(ABS(C26),10)&lt;=$B$19,ROUND(Sessions!U3,10)&lt;=$B$20),"WITHIN LIMITS","FAIL")))</f>
        <v/>
      </c>
      <c r="G26" s="3" t="str">
        <f t="shared" si="0"/>
        <v/>
      </c>
      <c r="H26" s="3" t="str">
        <f>IF(A26="","",IF(COUNTIF(Sessions!$A$2:$A$21,A26)&lt;&gt;1,"DUPLICATE ID",IF(OR(Sessions!B3="",Sessions!C3="",Sessions!D3="",Sessions!V3=""),"REVIEW PENDING","AUDIT REQUIRED")))</f>
        <v/>
      </c>
    </row>
    <row r="27" spans="1:8" ht="23.1" customHeight="1">
      <c r="A27" s="3" t="str">
        <f>IF(Sessions!A4="","",Sessions!A4)</f>
        <v/>
      </c>
      <c r="B27" s="7" t="str">
        <f>IF(Sessions!M4="","",Sessions!M4-$B$18)</f>
        <v/>
      </c>
      <c r="C27" s="7" t="str">
        <f>IF(Sessions!T4="","",Sessions!T4-$B$18)</f>
        <v/>
      </c>
      <c r="D27" s="7" t="str">
        <f>IF(AND(ISNUMBER(B27),ISNUMBER(C27)),Sessions!T4-Sessions!M4,"")</f>
        <v/>
      </c>
      <c r="E27" s="3" t="str">
        <f>IF(A27="","",IF(NOT(ISNUMBER(B27)),"INCOMPLETE",IF(AND(ROUND(ABS(B27),10)&lt;=$B$19,ROUND(Sessions!N4,10)&lt;=$B$20),"WITHIN LIMITS","FAIL")))</f>
        <v/>
      </c>
      <c r="F27" s="3" t="str">
        <f>IF(A27="","",IF(NOT(ISNUMBER(C27)),"INCOMPLETE",IF(AND(ROUND(ABS(C27),10)&lt;=$B$19,ROUND(Sessions!U4,10)&lt;=$B$20),"WITHIN LIMITS","FAIL")))</f>
        <v/>
      </c>
      <c r="G27" s="3" t="str">
        <f t="shared" si="0"/>
        <v/>
      </c>
      <c r="H27" s="3" t="str">
        <f>IF(A27="","",IF(COUNTIF(Sessions!$A$2:$A$21,A27)&lt;&gt;1,"DUPLICATE ID",IF(OR(Sessions!B4="",Sessions!C4="",Sessions!D4="",Sessions!V4=""),"REVIEW PENDING","AUDIT REQUIRED")))</f>
        <v/>
      </c>
    </row>
    <row r="28" spans="1:8" ht="23.1" customHeight="1">
      <c r="A28" s="3" t="str">
        <f>IF(Sessions!A5="","",Sessions!A5)</f>
        <v/>
      </c>
      <c r="B28" s="7" t="str">
        <f>IF(Sessions!M5="","",Sessions!M5-$B$18)</f>
        <v/>
      </c>
      <c r="C28" s="7" t="str">
        <f>IF(Sessions!T5="","",Sessions!T5-$B$18)</f>
        <v/>
      </c>
      <c r="D28" s="7" t="str">
        <f>IF(AND(ISNUMBER(B28),ISNUMBER(C28)),Sessions!T5-Sessions!M5,"")</f>
        <v/>
      </c>
      <c r="E28" s="3" t="str">
        <f>IF(A28="","",IF(NOT(ISNUMBER(B28)),"INCOMPLETE",IF(AND(ROUND(ABS(B28),10)&lt;=$B$19,ROUND(Sessions!N5,10)&lt;=$B$20),"WITHIN LIMITS","FAIL")))</f>
        <v/>
      </c>
      <c r="F28" s="3" t="str">
        <f>IF(A28="","",IF(NOT(ISNUMBER(C28)),"INCOMPLETE",IF(AND(ROUND(ABS(C28),10)&lt;=$B$19,ROUND(Sessions!U5,10)&lt;=$B$20),"WITHIN LIMITS","FAIL")))</f>
        <v/>
      </c>
      <c r="G28" s="3" t="str">
        <f t="shared" si="0"/>
        <v/>
      </c>
      <c r="H28" s="3" t="str">
        <f>IF(A28="","",IF(COUNTIF(Sessions!$A$2:$A$21,A28)&lt;&gt;1,"DUPLICATE ID",IF(OR(Sessions!B5="",Sessions!C5="",Sessions!D5="",Sessions!V5=""),"REVIEW PENDING","AUDIT REQUIRED")))</f>
        <v/>
      </c>
    </row>
    <row r="29" spans="1:8" ht="23.1" customHeight="1">
      <c r="A29" s="3" t="str">
        <f>IF(Sessions!A6="","",Sessions!A6)</f>
        <v/>
      </c>
      <c r="B29" s="7" t="str">
        <f>IF(Sessions!M6="","",Sessions!M6-$B$18)</f>
        <v/>
      </c>
      <c r="C29" s="7" t="str">
        <f>IF(Sessions!T6="","",Sessions!T6-$B$18)</f>
        <v/>
      </c>
      <c r="D29" s="7" t="str">
        <f>IF(AND(ISNUMBER(B29),ISNUMBER(C29)),Sessions!T6-Sessions!M6,"")</f>
        <v/>
      </c>
      <c r="E29" s="3" t="str">
        <f>IF(A29="","",IF(NOT(ISNUMBER(B29)),"INCOMPLETE",IF(AND(ROUND(ABS(B29),10)&lt;=$B$19,ROUND(Sessions!N6,10)&lt;=$B$20),"WITHIN LIMITS","FAIL")))</f>
        <v/>
      </c>
      <c r="F29" s="3" t="str">
        <f>IF(A29="","",IF(NOT(ISNUMBER(C29)),"INCOMPLETE",IF(AND(ROUND(ABS(C29),10)&lt;=$B$19,ROUND(Sessions!U6,10)&lt;=$B$20),"WITHIN LIMITS","FAIL")))</f>
        <v/>
      </c>
      <c r="G29" s="3" t="str">
        <f t="shared" si="0"/>
        <v/>
      </c>
      <c r="H29" s="3" t="str">
        <f>IF(A29="","",IF(COUNTIF(Sessions!$A$2:$A$21,A29)&lt;&gt;1,"DUPLICATE ID",IF(OR(Sessions!B6="",Sessions!C6="",Sessions!D6="",Sessions!V6=""),"REVIEW PENDING","AUDIT REQUIRED")))</f>
        <v/>
      </c>
    </row>
    <row r="30" spans="1:8" ht="23.1" customHeight="1">
      <c r="A30" s="3" t="str">
        <f>IF(Sessions!A7="","",Sessions!A7)</f>
        <v/>
      </c>
      <c r="B30" s="7" t="str">
        <f>IF(Sessions!M7="","",Sessions!M7-$B$18)</f>
        <v/>
      </c>
      <c r="C30" s="7" t="str">
        <f>IF(Sessions!T7="","",Sessions!T7-$B$18)</f>
        <v/>
      </c>
      <c r="D30" s="7" t="str">
        <f>IF(AND(ISNUMBER(B30),ISNUMBER(C30)),Sessions!T7-Sessions!M7,"")</f>
        <v/>
      </c>
      <c r="E30" s="3" t="str">
        <f>IF(A30="","",IF(NOT(ISNUMBER(B30)),"INCOMPLETE",IF(AND(ROUND(ABS(B30),10)&lt;=$B$19,ROUND(Sessions!N7,10)&lt;=$B$20),"WITHIN LIMITS","FAIL")))</f>
        <v/>
      </c>
      <c r="F30" s="3" t="str">
        <f>IF(A30="","",IF(NOT(ISNUMBER(C30)),"INCOMPLETE",IF(AND(ROUND(ABS(C30),10)&lt;=$B$19,ROUND(Sessions!U7,10)&lt;=$B$20),"WITHIN LIMITS","FAIL")))</f>
        <v/>
      </c>
      <c r="G30" s="3" t="str">
        <f t="shared" si="0"/>
        <v/>
      </c>
      <c r="H30" s="3" t="str">
        <f>IF(A30="","",IF(COUNTIF(Sessions!$A$2:$A$21,A30)&lt;&gt;1,"DUPLICATE ID",IF(OR(Sessions!B7="",Sessions!C7="",Sessions!D7="",Sessions!V7=""),"REVIEW PENDING","AUDIT REQUIRED")))</f>
        <v/>
      </c>
    </row>
    <row r="31" spans="1:8" ht="23.1" customHeight="1">
      <c r="A31" s="3" t="str">
        <f>IF(Sessions!A8="","",Sessions!A8)</f>
        <v/>
      </c>
      <c r="B31" s="7" t="str">
        <f>IF(Sessions!M8="","",Sessions!M8-$B$18)</f>
        <v/>
      </c>
      <c r="C31" s="7" t="str">
        <f>IF(Sessions!T8="","",Sessions!T8-$B$18)</f>
        <v/>
      </c>
      <c r="D31" s="7" t="str">
        <f>IF(AND(ISNUMBER(B31),ISNUMBER(C31)),Sessions!T8-Sessions!M8,"")</f>
        <v/>
      </c>
      <c r="E31" s="3" t="str">
        <f>IF(A31="","",IF(NOT(ISNUMBER(B31)),"INCOMPLETE",IF(AND(ROUND(ABS(B31),10)&lt;=$B$19,ROUND(Sessions!N8,10)&lt;=$B$20),"WITHIN LIMITS","FAIL")))</f>
        <v/>
      </c>
      <c r="F31" s="3" t="str">
        <f>IF(A31="","",IF(NOT(ISNUMBER(C31)),"INCOMPLETE",IF(AND(ROUND(ABS(C31),10)&lt;=$B$19,ROUND(Sessions!U8,10)&lt;=$B$20),"WITHIN LIMITS","FAIL")))</f>
        <v/>
      </c>
      <c r="G31" s="3" t="str">
        <f t="shared" si="0"/>
        <v/>
      </c>
      <c r="H31" s="3" t="str">
        <f>IF(A31="","",IF(COUNTIF(Sessions!$A$2:$A$21,A31)&lt;&gt;1,"DUPLICATE ID",IF(OR(Sessions!B8="",Sessions!C8="",Sessions!D8="",Sessions!V8=""),"REVIEW PENDING","AUDIT REQUIRED")))</f>
        <v/>
      </c>
    </row>
    <row r="32" spans="1:8" ht="23.1" customHeight="1">
      <c r="A32" s="3" t="str">
        <f>IF(Sessions!A9="","",Sessions!A9)</f>
        <v/>
      </c>
      <c r="B32" s="7" t="str">
        <f>IF(Sessions!M9="","",Sessions!M9-$B$18)</f>
        <v/>
      </c>
      <c r="C32" s="7" t="str">
        <f>IF(Sessions!T9="","",Sessions!T9-$B$18)</f>
        <v/>
      </c>
      <c r="D32" s="7" t="str">
        <f>IF(AND(ISNUMBER(B32),ISNUMBER(C32)),Sessions!T9-Sessions!M9,"")</f>
        <v/>
      </c>
      <c r="E32" s="3" t="str">
        <f>IF(A32="","",IF(NOT(ISNUMBER(B32)),"INCOMPLETE",IF(AND(ROUND(ABS(B32),10)&lt;=$B$19,ROUND(Sessions!N9,10)&lt;=$B$20),"WITHIN LIMITS","FAIL")))</f>
        <v/>
      </c>
      <c r="F32" s="3" t="str">
        <f>IF(A32="","",IF(NOT(ISNUMBER(C32)),"INCOMPLETE",IF(AND(ROUND(ABS(C32),10)&lt;=$B$19,ROUND(Sessions!U9,10)&lt;=$B$20),"WITHIN LIMITS","FAIL")))</f>
        <v/>
      </c>
      <c r="G32" s="3" t="str">
        <f t="shared" si="0"/>
        <v/>
      </c>
      <c r="H32" s="3" t="str">
        <f>IF(A32="","",IF(COUNTIF(Sessions!$A$2:$A$21,A32)&lt;&gt;1,"DUPLICATE ID",IF(OR(Sessions!B9="",Sessions!C9="",Sessions!D9="",Sessions!V9=""),"REVIEW PENDING","AUDIT REQUIRED")))</f>
        <v/>
      </c>
    </row>
    <row r="33" spans="1:8" ht="23.1" customHeight="1">
      <c r="A33" s="3" t="str">
        <f>IF(Sessions!A10="","",Sessions!A10)</f>
        <v/>
      </c>
      <c r="B33" s="7" t="str">
        <f>IF(Sessions!M10="","",Sessions!M10-$B$18)</f>
        <v/>
      </c>
      <c r="C33" s="7" t="str">
        <f>IF(Sessions!T10="","",Sessions!T10-$B$18)</f>
        <v/>
      </c>
      <c r="D33" s="7" t="str">
        <f>IF(AND(ISNUMBER(B33),ISNUMBER(C33)),Sessions!T10-Sessions!M10,"")</f>
        <v/>
      </c>
      <c r="E33" s="3" t="str">
        <f>IF(A33="","",IF(NOT(ISNUMBER(B33)),"INCOMPLETE",IF(AND(ROUND(ABS(B33),10)&lt;=$B$19,ROUND(Sessions!N10,10)&lt;=$B$20),"WITHIN LIMITS","FAIL")))</f>
        <v/>
      </c>
      <c r="F33" s="3" t="str">
        <f>IF(A33="","",IF(NOT(ISNUMBER(C33)),"INCOMPLETE",IF(AND(ROUND(ABS(C33),10)&lt;=$B$19,ROUND(Sessions!U10,10)&lt;=$B$20),"WITHIN LIMITS","FAIL")))</f>
        <v/>
      </c>
      <c r="G33" s="3" t="str">
        <f t="shared" si="0"/>
        <v/>
      </c>
      <c r="H33" s="3" t="str">
        <f>IF(A33="","",IF(COUNTIF(Sessions!$A$2:$A$21,A33)&lt;&gt;1,"DUPLICATE ID",IF(OR(Sessions!B10="",Sessions!C10="",Sessions!D10="",Sessions!V10=""),"REVIEW PENDING","AUDIT REQUIRED")))</f>
        <v/>
      </c>
    </row>
    <row r="34" spans="1:8" ht="23.1" customHeight="1">
      <c r="A34" s="3" t="str">
        <f>IF(Sessions!A11="","",Sessions!A11)</f>
        <v/>
      </c>
      <c r="B34" s="7" t="str">
        <f>IF(Sessions!M11="","",Sessions!M11-$B$18)</f>
        <v/>
      </c>
      <c r="C34" s="7" t="str">
        <f>IF(Sessions!T11="","",Sessions!T11-$B$18)</f>
        <v/>
      </c>
      <c r="D34" s="7" t="str">
        <f>IF(AND(ISNUMBER(B34),ISNUMBER(C34)),Sessions!T11-Sessions!M11,"")</f>
        <v/>
      </c>
      <c r="E34" s="3" t="str">
        <f>IF(A34="","",IF(NOT(ISNUMBER(B34)),"INCOMPLETE",IF(AND(ROUND(ABS(B34),10)&lt;=$B$19,ROUND(Sessions!N11,10)&lt;=$B$20),"WITHIN LIMITS","FAIL")))</f>
        <v/>
      </c>
      <c r="F34" s="3" t="str">
        <f>IF(A34="","",IF(NOT(ISNUMBER(C34)),"INCOMPLETE",IF(AND(ROUND(ABS(C34),10)&lt;=$B$19,ROUND(Sessions!U11,10)&lt;=$B$20),"WITHIN LIMITS","FAIL")))</f>
        <v/>
      </c>
      <c r="G34" s="3" t="str">
        <f t="shared" si="0"/>
        <v/>
      </c>
      <c r="H34" s="3" t="str">
        <f>IF(A34="","",IF(COUNTIF(Sessions!$A$2:$A$21,A34)&lt;&gt;1,"DUPLICATE ID",IF(OR(Sessions!B11="",Sessions!C11="",Sessions!D11="",Sessions!V11=""),"REVIEW PENDING","AUDIT REQUIRED")))</f>
        <v/>
      </c>
    </row>
    <row r="35" spans="1:8" ht="23.1" customHeight="1">
      <c r="A35" s="3" t="str">
        <f>IF(Sessions!A12="","",Sessions!A12)</f>
        <v/>
      </c>
      <c r="B35" s="7" t="str">
        <f>IF(Sessions!M12="","",Sessions!M12-$B$18)</f>
        <v/>
      </c>
      <c r="C35" s="7" t="str">
        <f>IF(Sessions!T12="","",Sessions!T12-$B$18)</f>
        <v/>
      </c>
      <c r="D35" s="7" t="str">
        <f>IF(AND(ISNUMBER(B35),ISNUMBER(C35)),Sessions!T12-Sessions!M12,"")</f>
        <v/>
      </c>
      <c r="E35" s="3" t="str">
        <f>IF(A35="","",IF(NOT(ISNUMBER(B35)),"INCOMPLETE",IF(AND(ROUND(ABS(B35),10)&lt;=$B$19,ROUND(Sessions!N12,10)&lt;=$B$20),"WITHIN LIMITS","FAIL")))</f>
        <v/>
      </c>
      <c r="F35" s="3" t="str">
        <f>IF(A35="","",IF(NOT(ISNUMBER(C35)),"INCOMPLETE",IF(AND(ROUND(ABS(C35),10)&lt;=$B$19,ROUND(Sessions!U12,10)&lt;=$B$20),"WITHIN LIMITS","FAIL")))</f>
        <v/>
      </c>
      <c r="G35" s="3" t="str">
        <f t="shared" si="0"/>
        <v/>
      </c>
      <c r="H35" s="3" t="str">
        <f>IF(A35="","",IF(COUNTIF(Sessions!$A$2:$A$21,A35)&lt;&gt;1,"DUPLICATE ID",IF(OR(Sessions!B12="",Sessions!C12="",Sessions!D12="",Sessions!V12=""),"REVIEW PENDING","AUDIT REQUIRED")))</f>
        <v/>
      </c>
    </row>
    <row r="36" spans="1:8" ht="23.1" customHeight="1">
      <c r="A36" s="3" t="str">
        <f>IF(Sessions!A13="","",Sessions!A13)</f>
        <v/>
      </c>
      <c r="B36" s="7" t="str">
        <f>IF(Sessions!M13="","",Sessions!M13-$B$18)</f>
        <v/>
      </c>
      <c r="C36" s="7" t="str">
        <f>IF(Sessions!T13="","",Sessions!T13-$B$18)</f>
        <v/>
      </c>
      <c r="D36" s="7" t="str">
        <f>IF(AND(ISNUMBER(B36),ISNUMBER(C36)),Sessions!T13-Sessions!M13,"")</f>
        <v/>
      </c>
      <c r="E36" s="3" t="str">
        <f>IF(A36="","",IF(NOT(ISNUMBER(B36)),"INCOMPLETE",IF(AND(ROUND(ABS(B36),10)&lt;=$B$19,ROUND(Sessions!N13,10)&lt;=$B$20),"WITHIN LIMITS","FAIL")))</f>
        <v/>
      </c>
      <c r="F36" s="3" t="str">
        <f>IF(A36="","",IF(NOT(ISNUMBER(C36)),"INCOMPLETE",IF(AND(ROUND(ABS(C36),10)&lt;=$B$19,ROUND(Sessions!U13,10)&lt;=$B$20),"WITHIN LIMITS","FAIL")))</f>
        <v/>
      </c>
      <c r="G36" s="3" t="str">
        <f t="shared" si="0"/>
        <v/>
      </c>
      <c r="H36" s="3" t="str">
        <f>IF(A36="","",IF(COUNTIF(Sessions!$A$2:$A$21,A36)&lt;&gt;1,"DUPLICATE ID",IF(OR(Sessions!B13="",Sessions!C13="",Sessions!D13="",Sessions!V13=""),"REVIEW PENDING","AUDIT REQUIRED")))</f>
        <v/>
      </c>
    </row>
    <row r="37" spans="1:8" ht="23.1" customHeight="1">
      <c r="A37" s="3" t="str">
        <f>IF(Sessions!A14="","",Sessions!A14)</f>
        <v/>
      </c>
      <c r="B37" s="7" t="str">
        <f>IF(Sessions!M14="","",Sessions!M14-$B$18)</f>
        <v/>
      </c>
      <c r="C37" s="7" t="str">
        <f>IF(Sessions!T14="","",Sessions!T14-$B$18)</f>
        <v/>
      </c>
      <c r="D37" s="7" t="str">
        <f>IF(AND(ISNUMBER(B37),ISNUMBER(C37)),Sessions!T14-Sessions!M14,"")</f>
        <v/>
      </c>
      <c r="E37" s="3" t="str">
        <f>IF(A37="","",IF(NOT(ISNUMBER(B37)),"INCOMPLETE",IF(AND(ROUND(ABS(B37),10)&lt;=$B$19,ROUND(Sessions!N14,10)&lt;=$B$20),"WITHIN LIMITS","FAIL")))</f>
        <v/>
      </c>
      <c r="F37" s="3" t="str">
        <f>IF(A37="","",IF(NOT(ISNUMBER(C37)),"INCOMPLETE",IF(AND(ROUND(ABS(C37),10)&lt;=$B$19,ROUND(Sessions!U14,10)&lt;=$B$20),"WITHIN LIMITS","FAIL")))</f>
        <v/>
      </c>
      <c r="G37" s="3" t="str">
        <f t="shared" si="0"/>
        <v/>
      </c>
      <c r="H37" s="3" t="str">
        <f>IF(A37="","",IF(COUNTIF(Sessions!$A$2:$A$21,A37)&lt;&gt;1,"DUPLICATE ID",IF(OR(Sessions!B14="",Sessions!C14="",Sessions!D14="",Sessions!V14=""),"REVIEW PENDING","AUDIT REQUIRED")))</f>
        <v/>
      </c>
    </row>
    <row r="38" spans="1:8" ht="23.1" customHeight="1">
      <c r="A38" s="3" t="str">
        <f>IF(Sessions!A15="","",Sessions!A15)</f>
        <v/>
      </c>
      <c r="B38" s="7" t="str">
        <f>IF(Sessions!M15="","",Sessions!M15-$B$18)</f>
        <v/>
      </c>
      <c r="C38" s="7" t="str">
        <f>IF(Sessions!T15="","",Sessions!T15-$B$18)</f>
        <v/>
      </c>
      <c r="D38" s="7" t="str">
        <f>IF(AND(ISNUMBER(B38),ISNUMBER(C38)),Sessions!T15-Sessions!M15,"")</f>
        <v/>
      </c>
      <c r="E38" s="3" t="str">
        <f>IF(A38="","",IF(NOT(ISNUMBER(B38)),"INCOMPLETE",IF(AND(ROUND(ABS(B38),10)&lt;=$B$19,ROUND(Sessions!N15,10)&lt;=$B$20),"WITHIN LIMITS","FAIL")))</f>
        <v/>
      </c>
      <c r="F38" s="3" t="str">
        <f>IF(A38="","",IF(NOT(ISNUMBER(C38)),"INCOMPLETE",IF(AND(ROUND(ABS(C38),10)&lt;=$B$19,ROUND(Sessions!U15,10)&lt;=$B$20),"WITHIN LIMITS","FAIL")))</f>
        <v/>
      </c>
      <c r="G38" s="3" t="str">
        <f t="shared" si="0"/>
        <v/>
      </c>
      <c r="H38" s="3" t="str">
        <f>IF(A38="","",IF(COUNTIF(Sessions!$A$2:$A$21,A38)&lt;&gt;1,"DUPLICATE ID",IF(OR(Sessions!B15="",Sessions!C15="",Sessions!D15="",Sessions!V15=""),"REVIEW PENDING","AUDIT REQUIRED")))</f>
        <v/>
      </c>
    </row>
    <row r="39" spans="1:8" ht="23.1" customHeight="1">
      <c r="A39" s="3" t="str">
        <f>IF(Sessions!A16="","",Sessions!A16)</f>
        <v/>
      </c>
      <c r="B39" s="7" t="str">
        <f>IF(Sessions!M16="","",Sessions!M16-$B$18)</f>
        <v/>
      </c>
      <c r="C39" s="7" t="str">
        <f>IF(Sessions!T16="","",Sessions!T16-$B$18)</f>
        <v/>
      </c>
      <c r="D39" s="7" t="str">
        <f>IF(AND(ISNUMBER(B39),ISNUMBER(C39)),Sessions!T16-Sessions!M16,"")</f>
        <v/>
      </c>
      <c r="E39" s="3" t="str">
        <f>IF(A39="","",IF(NOT(ISNUMBER(B39)),"INCOMPLETE",IF(AND(ROUND(ABS(B39),10)&lt;=$B$19,ROUND(Sessions!N16,10)&lt;=$B$20),"WITHIN LIMITS","FAIL")))</f>
        <v/>
      </c>
      <c r="F39" s="3" t="str">
        <f>IF(A39="","",IF(NOT(ISNUMBER(C39)),"INCOMPLETE",IF(AND(ROUND(ABS(C39),10)&lt;=$B$19,ROUND(Sessions!U16,10)&lt;=$B$20),"WITHIN LIMITS","FAIL")))</f>
        <v/>
      </c>
      <c r="G39" s="3" t="str">
        <f t="shared" si="0"/>
        <v/>
      </c>
      <c r="H39" s="3" t="str">
        <f>IF(A39="","",IF(COUNTIF(Sessions!$A$2:$A$21,A39)&lt;&gt;1,"DUPLICATE ID",IF(OR(Sessions!B16="",Sessions!C16="",Sessions!D16="",Sessions!V16=""),"REVIEW PENDING","AUDIT REQUIRED")))</f>
        <v/>
      </c>
    </row>
    <row r="40" spans="1:8" ht="23.1" customHeight="1">
      <c r="A40" s="3" t="str">
        <f>IF(Sessions!A17="","",Sessions!A17)</f>
        <v/>
      </c>
      <c r="B40" s="7" t="str">
        <f>IF(Sessions!M17="","",Sessions!M17-$B$18)</f>
        <v/>
      </c>
      <c r="C40" s="7" t="str">
        <f>IF(Sessions!T17="","",Sessions!T17-$B$18)</f>
        <v/>
      </c>
      <c r="D40" s="7" t="str">
        <f>IF(AND(ISNUMBER(B40),ISNUMBER(C40)),Sessions!T17-Sessions!M17,"")</f>
        <v/>
      </c>
      <c r="E40" s="3" t="str">
        <f>IF(A40="","",IF(NOT(ISNUMBER(B40)),"INCOMPLETE",IF(AND(ROUND(ABS(B40),10)&lt;=$B$19,ROUND(Sessions!N17,10)&lt;=$B$20),"WITHIN LIMITS","FAIL")))</f>
        <v/>
      </c>
      <c r="F40" s="3" t="str">
        <f>IF(A40="","",IF(NOT(ISNUMBER(C40)),"INCOMPLETE",IF(AND(ROUND(ABS(C40),10)&lt;=$B$19,ROUND(Sessions!U17,10)&lt;=$B$20),"WITHIN LIMITS","FAIL")))</f>
        <v/>
      </c>
      <c r="G40" s="3" t="str">
        <f t="shared" si="0"/>
        <v/>
      </c>
      <c r="H40" s="3" t="str">
        <f>IF(A40="","",IF(COUNTIF(Sessions!$A$2:$A$21,A40)&lt;&gt;1,"DUPLICATE ID",IF(OR(Sessions!B17="",Sessions!C17="",Sessions!D17="",Sessions!V17=""),"REVIEW PENDING","AUDIT REQUIRED")))</f>
        <v/>
      </c>
    </row>
    <row r="41" spans="1:8" ht="23.1" customHeight="1">
      <c r="A41" s="3" t="str">
        <f>IF(Sessions!A18="","",Sessions!A18)</f>
        <v/>
      </c>
      <c r="B41" s="7" t="str">
        <f>IF(Sessions!M18="","",Sessions!M18-$B$18)</f>
        <v/>
      </c>
      <c r="C41" s="7" t="str">
        <f>IF(Sessions!T18="","",Sessions!T18-$B$18)</f>
        <v/>
      </c>
      <c r="D41" s="7" t="str">
        <f>IF(AND(ISNUMBER(B41),ISNUMBER(C41)),Sessions!T18-Sessions!M18,"")</f>
        <v/>
      </c>
      <c r="E41" s="3" t="str">
        <f>IF(A41="","",IF(NOT(ISNUMBER(B41)),"INCOMPLETE",IF(AND(ROUND(ABS(B41),10)&lt;=$B$19,ROUND(Sessions!N18,10)&lt;=$B$20),"WITHIN LIMITS","FAIL")))</f>
        <v/>
      </c>
      <c r="F41" s="3" t="str">
        <f>IF(A41="","",IF(NOT(ISNUMBER(C41)),"INCOMPLETE",IF(AND(ROUND(ABS(C41),10)&lt;=$B$19,ROUND(Sessions!U18,10)&lt;=$B$20),"WITHIN LIMITS","FAIL")))</f>
        <v/>
      </c>
      <c r="G41" s="3" t="str">
        <f t="shared" si="0"/>
        <v/>
      </c>
      <c r="H41" s="3" t="str">
        <f>IF(A41="","",IF(COUNTIF(Sessions!$A$2:$A$21,A41)&lt;&gt;1,"DUPLICATE ID",IF(OR(Sessions!B18="",Sessions!C18="",Sessions!D18="",Sessions!V18=""),"REVIEW PENDING","AUDIT REQUIRED")))</f>
        <v/>
      </c>
    </row>
    <row r="42" spans="1:8" ht="23.1" customHeight="1">
      <c r="A42" s="3" t="str">
        <f>IF(Sessions!A19="","",Sessions!A19)</f>
        <v/>
      </c>
      <c r="B42" s="7" t="str">
        <f>IF(Sessions!M19="","",Sessions!M19-$B$18)</f>
        <v/>
      </c>
      <c r="C42" s="7" t="str">
        <f>IF(Sessions!T19="","",Sessions!T19-$B$18)</f>
        <v/>
      </c>
      <c r="D42" s="7" t="str">
        <f>IF(AND(ISNUMBER(B42),ISNUMBER(C42)),Sessions!T19-Sessions!M19,"")</f>
        <v/>
      </c>
      <c r="E42" s="3" t="str">
        <f>IF(A42="","",IF(NOT(ISNUMBER(B42)),"INCOMPLETE",IF(AND(ROUND(ABS(B42),10)&lt;=$B$19,ROUND(Sessions!N19,10)&lt;=$B$20),"WITHIN LIMITS","FAIL")))</f>
        <v/>
      </c>
      <c r="F42" s="3" t="str">
        <f>IF(A42="","",IF(NOT(ISNUMBER(C42)),"INCOMPLETE",IF(AND(ROUND(ABS(C42),10)&lt;=$B$19,ROUND(Sessions!U19,10)&lt;=$B$20),"WITHIN LIMITS","FAIL")))</f>
        <v/>
      </c>
      <c r="G42" s="3" t="str">
        <f t="shared" si="0"/>
        <v/>
      </c>
      <c r="H42" s="3" t="str">
        <f>IF(A42="","",IF(COUNTIF(Sessions!$A$2:$A$21,A42)&lt;&gt;1,"DUPLICATE ID",IF(OR(Sessions!B19="",Sessions!C19="",Sessions!D19="",Sessions!V19=""),"REVIEW PENDING","AUDIT REQUIRED")))</f>
        <v/>
      </c>
    </row>
    <row r="43" spans="1:8" ht="23.1" customHeight="1">
      <c r="A43" s="3" t="str">
        <f>IF(Sessions!A20="","",Sessions!A20)</f>
        <v/>
      </c>
      <c r="B43" s="7" t="str">
        <f>IF(Sessions!M20="","",Sessions!M20-$B$18)</f>
        <v/>
      </c>
      <c r="C43" s="7" t="str">
        <f>IF(Sessions!T20="","",Sessions!T20-$B$18)</f>
        <v/>
      </c>
      <c r="D43" s="7" t="str">
        <f>IF(AND(ISNUMBER(B43),ISNUMBER(C43)),Sessions!T20-Sessions!M20,"")</f>
        <v/>
      </c>
      <c r="E43" s="3" t="str">
        <f>IF(A43="","",IF(NOT(ISNUMBER(B43)),"INCOMPLETE",IF(AND(ROUND(ABS(B43),10)&lt;=$B$19,ROUND(Sessions!N20,10)&lt;=$B$20),"WITHIN LIMITS","FAIL")))</f>
        <v/>
      </c>
      <c r="F43" s="3" t="str">
        <f>IF(A43="","",IF(NOT(ISNUMBER(C43)),"INCOMPLETE",IF(AND(ROUND(ABS(C43),10)&lt;=$B$19,ROUND(Sessions!U20,10)&lt;=$B$20),"WITHIN LIMITS","FAIL")))</f>
        <v/>
      </c>
      <c r="G43" s="3" t="str">
        <f t="shared" si="0"/>
        <v/>
      </c>
      <c r="H43" s="3" t="str">
        <f>IF(A43="","",IF(COUNTIF(Sessions!$A$2:$A$21,A43)&lt;&gt;1,"DUPLICATE ID",IF(OR(Sessions!B20="",Sessions!C20="",Sessions!D20="",Sessions!V20=""),"REVIEW PENDING","AUDIT REQUIRED")))</f>
        <v/>
      </c>
    </row>
    <row r="44" spans="1:8" ht="23.1" customHeight="1">
      <c r="A44" s="3" t="str">
        <f>IF(Sessions!A21="","",Sessions!A21)</f>
        <v/>
      </c>
      <c r="B44" s="7" t="str">
        <f>IF(Sessions!M21="","",Sessions!M21-$B$18)</f>
        <v/>
      </c>
      <c r="C44" s="7" t="str">
        <f>IF(Sessions!T21="","",Sessions!T21-$B$18)</f>
        <v/>
      </c>
      <c r="D44" s="7" t="str">
        <f>IF(AND(ISNUMBER(B44),ISNUMBER(C44)),Sessions!T21-Sessions!M21,"")</f>
        <v/>
      </c>
      <c r="E44" s="3" t="str">
        <f>IF(A44="","",IF(NOT(ISNUMBER(B44)),"INCOMPLETE",IF(AND(ROUND(ABS(B44),10)&lt;=$B$19,ROUND(Sessions!N21,10)&lt;=$B$20),"WITHIN LIMITS","FAIL")))</f>
        <v/>
      </c>
      <c r="F44" s="3" t="str">
        <f>IF(A44="","",IF(NOT(ISNUMBER(C44)),"INCOMPLETE",IF(AND(ROUND(ABS(C44),10)&lt;=$B$19,ROUND(Sessions!U21,10)&lt;=$B$20),"WITHIN LIMITS","FAIL")))</f>
        <v/>
      </c>
      <c r="G44" s="3" t="str">
        <f t="shared" si="0"/>
        <v/>
      </c>
      <c r="H44" s="3" t="str">
        <f>IF(A44="","",IF(COUNTIF(Sessions!$A$2:$A$21,A44)&lt;&gt;1,"DUPLICATE ID",IF(OR(Sessions!B21="",Sessions!C21="",Sessions!D21="",Sessions!V21=""),"REVIEW PENDING","AUDIT REQUIRED")))</f>
        <v/>
      </c>
    </row>
    <row r="45" spans="1:8" ht="23.1" customHeight="1">
      <c r="A45" s="1"/>
      <c r="B45" s="1"/>
      <c r="C45" s="1"/>
      <c r="D45" s="1"/>
      <c r="E45" s="1"/>
      <c r="F45" s="1"/>
      <c r="G45" s="1"/>
      <c r="H45" s="1"/>
    </row>
    <row r="46" spans="1:8" ht="23.1" customHeight="1">
      <c r="A46" s="1"/>
      <c r="B46" s="1"/>
      <c r="C46" s="1"/>
      <c r="D46" s="1"/>
      <c r="E46" s="1"/>
      <c r="F46" s="1"/>
      <c r="G46" s="1"/>
      <c r="H46" s="1"/>
    </row>
    <row r="47" spans="1:8" ht="57.95" customHeight="1">
      <c r="A47" s="2" t="s">
        <v>38</v>
      </c>
      <c r="B47" s="2" t="s">
        <v>39</v>
      </c>
      <c r="C47" s="2" t="s">
        <v>40</v>
      </c>
      <c r="D47" s="2" t="s">
        <v>41</v>
      </c>
      <c r="E47" s="1"/>
      <c r="F47" s="2" t="s">
        <v>42</v>
      </c>
      <c r="G47" s="2" t="s">
        <v>43</v>
      </c>
      <c r="H47" s="2" t="s">
        <v>44</v>
      </c>
    </row>
    <row r="48" spans="1:8" ht="23.1" customHeight="1">
      <c r="A48" s="1">
        <v>1</v>
      </c>
      <c r="B48" s="1" t="str">
        <f>IF(AND(LEN(Screening!B2)=0,LEN(Screening!D2)=0),"",IF(LEN(Screening!B2)=0,"MISSING",IF(OR(NOT(ISNUMBER(Screening!B2)),COUNTIF($F$48:$F$282,Screening!B2)&lt;&gt;1),"INVALID",IF(COUNTIF(Screening!$B$2:$B$236,Screening!B2)&gt;1,"DUPLICATE","OK"))))</f>
        <v>OK</v>
      </c>
      <c r="C48" s="1" t="str">
        <f>IF(AND(LEN(Screening!B2)=0,LEN(Screening!D2)=0),"",IF(AND(B48="OK",ISNUMBER(Screening!D2),Screening!C2="yes",Screening!F2&lt;&gt;"",COUNTIF(Sessions!$A$2:$A$21,Screening!I2)=1,Screening!E2&lt;&gt;"",Screening!G2&lt;&gt;"",Screening!H2=$B$16),"OK","REVIEW"))</f>
        <v>OK</v>
      </c>
      <c r="D48" s="1" t="str">
        <f>IF(A48=Screening!A2,"OK","CHANGED")</f>
        <v>OK</v>
      </c>
      <c r="E48" s="1"/>
      <c r="F48" s="1">
        <v>1</v>
      </c>
      <c r="G48" s="1">
        <f>SUMIF(Screening!$B$2:$B$236,F48,$H$48:$H$282)</f>
        <v>1</v>
      </c>
      <c r="H48" s="1">
        <f>IF(ISNUMBER(Screening!D2),1,0)</f>
        <v>1</v>
      </c>
    </row>
    <row r="49" spans="1:8" ht="23.1" customHeight="1">
      <c r="A49" s="1">
        <v>2</v>
      </c>
      <c r="B49" s="1" t="str">
        <f>IF(AND(LEN(Screening!B3)=0,LEN(Screening!D3)=0),"",IF(LEN(Screening!B3)=0,"MISSING",IF(OR(NOT(ISNUMBER(Screening!B3)),COUNTIF($F$48:$F$282,Screening!B3)&lt;&gt;1),"INVALID",IF(COUNTIF(Screening!$B$2:$B$236,Screening!B3)&gt;1,"DUPLICATE","OK"))))</f>
        <v>OK</v>
      </c>
      <c r="C49" s="1" t="str">
        <f>IF(AND(LEN(Screening!B3)=0,LEN(Screening!D3)=0),"",IF(AND(B49="OK",ISNUMBER(Screening!D3),Screening!C3="yes",Screening!F3&lt;&gt;"",COUNTIF(Sessions!$A$2:$A$21,Screening!I3)=1,Screening!E3&lt;&gt;"",Screening!G3&lt;&gt;"",Screening!H3=$B$16),"OK","REVIEW"))</f>
        <v>OK</v>
      </c>
      <c r="D49" s="1" t="str">
        <f>IF(A49=Screening!A3,"OK","CHANGED")</f>
        <v>OK</v>
      </c>
      <c r="E49" s="1"/>
      <c r="F49" s="1">
        <v>2</v>
      </c>
      <c r="G49" s="1">
        <f>SUMIF(Screening!$B$2:$B$236,F49,$H$48:$H$282)</f>
        <v>1</v>
      </c>
      <c r="H49" s="1">
        <f>IF(ISNUMBER(Screening!D3),1,0)</f>
        <v>1</v>
      </c>
    </row>
    <row r="50" spans="1:8" ht="23.1" customHeight="1">
      <c r="A50" s="1">
        <v>3</v>
      </c>
      <c r="B50" s="1" t="str">
        <f>IF(AND(LEN(Screening!B4)=0,LEN(Screening!D4)=0),"",IF(LEN(Screening!B4)=0,"MISSING",IF(OR(NOT(ISNUMBER(Screening!B4)),COUNTIF($F$48:$F$282,Screening!B4)&lt;&gt;1),"INVALID",IF(COUNTIF(Screening!$B$2:$B$236,Screening!B4)&gt;1,"DUPLICATE","OK"))))</f>
        <v>OK</v>
      </c>
      <c r="C50" s="1" t="str">
        <f>IF(AND(LEN(Screening!B4)=0,LEN(Screening!D4)=0),"",IF(AND(B50="OK",ISNUMBER(Screening!D4),Screening!C4="yes",Screening!F4&lt;&gt;"",COUNTIF(Sessions!$A$2:$A$21,Screening!I4)=1,Screening!E4&lt;&gt;"",Screening!G4&lt;&gt;"",Screening!H4=$B$16),"OK","REVIEW"))</f>
        <v>OK</v>
      </c>
      <c r="D50" s="1" t="str">
        <f>IF(A50=Screening!A4,"OK","CHANGED")</f>
        <v>OK</v>
      </c>
      <c r="E50" s="1"/>
      <c r="F50" s="1">
        <v>3</v>
      </c>
      <c r="G50" s="1">
        <f>SUMIF(Screening!$B$2:$B$236,F50,$H$48:$H$282)</f>
        <v>1</v>
      </c>
      <c r="H50" s="1">
        <f>IF(ISNUMBER(Screening!D4),1,0)</f>
        <v>1</v>
      </c>
    </row>
    <row r="51" spans="1:8" ht="23.1" customHeight="1">
      <c r="A51" s="1">
        <v>4</v>
      </c>
      <c r="B51" s="1" t="str">
        <f>IF(AND(LEN(Screening!B5)=0,LEN(Screening!D5)=0),"",IF(LEN(Screening!B5)=0,"MISSING",IF(OR(NOT(ISNUMBER(Screening!B5)),COUNTIF($F$48:$F$282,Screening!B5)&lt;&gt;1),"INVALID",IF(COUNTIF(Screening!$B$2:$B$236,Screening!B5)&gt;1,"DUPLICATE","OK"))))</f>
        <v>OK</v>
      </c>
      <c r="C51" s="1" t="str">
        <f>IF(AND(LEN(Screening!B5)=0,LEN(Screening!D5)=0),"",IF(AND(B51="OK",ISNUMBER(Screening!D5),Screening!C5="yes",Screening!F5&lt;&gt;"",COUNTIF(Sessions!$A$2:$A$21,Screening!I5)=1,Screening!E5&lt;&gt;"",Screening!G5&lt;&gt;"",Screening!H5=$B$16),"OK","REVIEW"))</f>
        <v>OK</v>
      </c>
      <c r="D51" s="1" t="str">
        <f>IF(A51=Screening!A5,"OK","CHANGED")</f>
        <v>OK</v>
      </c>
      <c r="E51" s="1"/>
      <c r="F51" s="1">
        <v>4</v>
      </c>
      <c r="G51" s="1">
        <f>SUMIF(Screening!$B$2:$B$236,F51,$H$48:$H$282)</f>
        <v>1</v>
      </c>
      <c r="H51" s="1">
        <f>IF(ISNUMBER(Screening!D5),1,0)</f>
        <v>1</v>
      </c>
    </row>
    <row r="52" spans="1:8" ht="23.1" customHeight="1">
      <c r="A52" s="1">
        <v>5</v>
      </c>
      <c r="B52" s="1" t="str">
        <f>IF(AND(LEN(Screening!B6)=0,LEN(Screening!D6)=0),"",IF(LEN(Screening!B6)=0,"MISSING",IF(OR(NOT(ISNUMBER(Screening!B6)),COUNTIF($F$48:$F$282,Screening!B6)&lt;&gt;1),"INVALID",IF(COUNTIF(Screening!$B$2:$B$236,Screening!B6)&gt;1,"DUPLICATE","OK"))))</f>
        <v>OK</v>
      </c>
      <c r="C52" s="1" t="str">
        <f>IF(AND(LEN(Screening!B6)=0,LEN(Screening!D6)=0),"",IF(AND(B52="OK",ISNUMBER(Screening!D6),Screening!C6="yes",Screening!F6&lt;&gt;"",COUNTIF(Sessions!$A$2:$A$21,Screening!I6)=1,Screening!E6&lt;&gt;"",Screening!G6&lt;&gt;"",Screening!H6=$B$16),"OK","REVIEW"))</f>
        <v>OK</v>
      </c>
      <c r="D52" s="1" t="str">
        <f>IF(A52=Screening!A6,"OK","CHANGED")</f>
        <v>OK</v>
      </c>
      <c r="E52" s="1"/>
      <c r="F52" s="1">
        <v>5</v>
      </c>
      <c r="G52" s="1">
        <f>SUMIF(Screening!$B$2:$B$236,F52,$H$48:$H$282)</f>
        <v>1</v>
      </c>
      <c r="H52" s="1">
        <f>IF(ISNUMBER(Screening!D6),1,0)</f>
        <v>1</v>
      </c>
    </row>
    <row r="53" spans="1:8" ht="23.1" customHeight="1">
      <c r="A53" s="1">
        <v>6</v>
      </c>
      <c r="B53" s="1" t="str">
        <f>IF(AND(LEN(Screening!B7)=0,LEN(Screening!D7)=0),"",IF(LEN(Screening!B7)=0,"MISSING",IF(OR(NOT(ISNUMBER(Screening!B7)),COUNTIF($F$48:$F$282,Screening!B7)&lt;&gt;1),"INVALID",IF(COUNTIF(Screening!$B$2:$B$236,Screening!B7)&gt;1,"DUPLICATE","OK"))))</f>
        <v>OK</v>
      </c>
      <c r="C53" s="1" t="str">
        <f>IF(AND(LEN(Screening!B7)=0,LEN(Screening!D7)=0),"",IF(AND(B53="OK",ISNUMBER(Screening!D7),Screening!C7="yes",Screening!F7&lt;&gt;"",COUNTIF(Sessions!$A$2:$A$21,Screening!I7)=1,Screening!E7&lt;&gt;"",Screening!G7&lt;&gt;"",Screening!H7=$B$16),"OK","REVIEW"))</f>
        <v>OK</v>
      </c>
      <c r="D53" s="1" t="str">
        <f>IF(A53=Screening!A7,"OK","CHANGED")</f>
        <v>OK</v>
      </c>
      <c r="E53" s="1"/>
      <c r="F53" s="1">
        <v>6</v>
      </c>
      <c r="G53" s="1">
        <f>SUMIF(Screening!$B$2:$B$236,F53,$H$48:$H$282)</f>
        <v>1</v>
      </c>
      <c r="H53" s="1">
        <f>IF(ISNUMBER(Screening!D7),1,0)</f>
        <v>1</v>
      </c>
    </row>
    <row r="54" spans="1:8" ht="23.1" customHeight="1">
      <c r="A54" s="1">
        <v>7</v>
      </c>
      <c r="B54" s="1" t="str">
        <f>IF(AND(LEN(Screening!B8)=0,LEN(Screening!D8)=0),"",IF(LEN(Screening!B8)=0,"MISSING",IF(OR(NOT(ISNUMBER(Screening!B8)),COUNTIF($F$48:$F$282,Screening!B8)&lt;&gt;1),"INVALID",IF(COUNTIF(Screening!$B$2:$B$236,Screening!B8)&gt;1,"DUPLICATE","OK"))))</f>
        <v>OK</v>
      </c>
      <c r="C54" s="1" t="str">
        <f>IF(AND(LEN(Screening!B8)=0,LEN(Screening!D8)=0),"",IF(AND(B54="OK",ISNUMBER(Screening!D8),Screening!C8="yes",Screening!F8&lt;&gt;"",COUNTIF(Sessions!$A$2:$A$21,Screening!I8)=1,Screening!E8&lt;&gt;"",Screening!G8&lt;&gt;"",Screening!H8=$B$16),"OK","REVIEW"))</f>
        <v>OK</v>
      </c>
      <c r="D54" s="1" t="str">
        <f>IF(A54=Screening!A8,"OK","CHANGED")</f>
        <v>OK</v>
      </c>
      <c r="E54" s="1"/>
      <c r="F54" s="1">
        <v>7</v>
      </c>
      <c r="G54" s="1">
        <f>SUMIF(Screening!$B$2:$B$236,F54,$H$48:$H$282)</f>
        <v>1</v>
      </c>
      <c r="H54" s="1">
        <f>IF(ISNUMBER(Screening!D8),1,0)</f>
        <v>1</v>
      </c>
    </row>
    <row r="55" spans="1:8" ht="23.1" customHeight="1">
      <c r="A55" s="1">
        <v>8</v>
      </c>
      <c r="B55" s="1" t="str">
        <f>IF(AND(LEN(Screening!B9)=0,LEN(Screening!D9)=0),"",IF(LEN(Screening!B9)=0,"MISSING",IF(OR(NOT(ISNUMBER(Screening!B9)),COUNTIF($F$48:$F$282,Screening!B9)&lt;&gt;1),"INVALID",IF(COUNTIF(Screening!$B$2:$B$236,Screening!B9)&gt;1,"DUPLICATE","OK"))))</f>
        <v>OK</v>
      </c>
      <c r="C55" s="1" t="str">
        <f>IF(AND(LEN(Screening!B9)=0,LEN(Screening!D9)=0),"",IF(AND(B55="OK",ISNUMBER(Screening!D9),Screening!C9="yes",Screening!F9&lt;&gt;"",COUNTIF(Sessions!$A$2:$A$21,Screening!I9)=1,Screening!E9&lt;&gt;"",Screening!G9&lt;&gt;"",Screening!H9=$B$16),"OK","REVIEW"))</f>
        <v>OK</v>
      </c>
      <c r="D55" s="1" t="str">
        <f>IF(A55=Screening!A9,"OK","CHANGED")</f>
        <v>OK</v>
      </c>
      <c r="E55" s="1"/>
      <c r="F55" s="1">
        <v>8</v>
      </c>
      <c r="G55" s="1">
        <f>SUMIF(Screening!$B$2:$B$236,F55,$H$48:$H$282)</f>
        <v>1</v>
      </c>
      <c r="H55" s="1">
        <f>IF(ISNUMBER(Screening!D9),1,0)</f>
        <v>1</v>
      </c>
    </row>
    <row r="56" spans="1:8" ht="23.1" customHeight="1">
      <c r="A56" s="1">
        <v>9</v>
      </c>
      <c r="B56" s="1" t="str">
        <f>IF(AND(LEN(Screening!B10)=0,LEN(Screening!D10)=0),"",IF(LEN(Screening!B10)=0,"MISSING",IF(OR(NOT(ISNUMBER(Screening!B10)),COUNTIF($F$48:$F$282,Screening!B10)&lt;&gt;1),"INVALID",IF(COUNTIF(Screening!$B$2:$B$236,Screening!B10)&gt;1,"DUPLICATE","OK"))))</f>
        <v>OK</v>
      </c>
      <c r="C56" s="1" t="str">
        <f>IF(AND(LEN(Screening!B10)=0,LEN(Screening!D10)=0),"",IF(AND(B56="OK",ISNUMBER(Screening!D10),Screening!C10="yes",Screening!F10&lt;&gt;"",COUNTIF(Sessions!$A$2:$A$21,Screening!I10)=1,Screening!E10&lt;&gt;"",Screening!G10&lt;&gt;"",Screening!H10=$B$16),"OK","REVIEW"))</f>
        <v>OK</v>
      </c>
      <c r="D56" s="1" t="str">
        <f>IF(A56=Screening!A10,"OK","CHANGED")</f>
        <v>OK</v>
      </c>
      <c r="E56" s="1"/>
      <c r="F56" s="1">
        <v>9</v>
      </c>
      <c r="G56" s="1">
        <f>SUMIF(Screening!$B$2:$B$236,F56,$H$48:$H$282)</f>
        <v>1</v>
      </c>
      <c r="H56" s="1">
        <f>IF(ISNUMBER(Screening!D10),1,0)</f>
        <v>1</v>
      </c>
    </row>
    <row r="57" spans="1:8" ht="23.1" customHeight="1">
      <c r="A57" s="1">
        <v>10</v>
      </c>
      <c r="B57" s="1" t="str">
        <f>IF(AND(LEN(Screening!B11)=0,LEN(Screening!D11)=0),"",IF(LEN(Screening!B11)=0,"MISSING",IF(OR(NOT(ISNUMBER(Screening!B11)),COUNTIF($F$48:$F$282,Screening!B11)&lt;&gt;1),"INVALID",IF(COUNTIF(Screening!$B$2:$B$236,Screening!B11)&gt;1,"DUPLICATE","OK"))))</f>
        <v>OK</v>
      </c>
      <c r="C57" s="1" t="str">
        <f>IF(AND(LEN(Screening!B11)=0,LEN(Screening!D11)=0),"",IF(AND(B57="OK",ISNUMBER(Screening!D11),Screening!C11="yes",Screening!F11&lt;&gt;"",COUNTIF(Sessions!$A$2:$A$21,Screening!I11)=1,Screening!E11&lt;&gt;"",Screening!G11&lt;&gt;"",Screening!H11=$B$16),"OK","REVIEW"))</f>
        <v>OK</v>
      </c>
      <c r="D57" s="1" t="str">
        <f>IF(A57=Screening!A11,"OK","CHANGED")</f>
        <v>OK</v>
      </c>
      <c r="E57" s="1"/>
      <c r="F57" s="1">
        <v>10</v>
      </c>
      <c r="G57" s="1">
        <f>SUMIF(Screening!$B$2:$B$236,F57,$H$48:$H$282)</f>
        <v>1</v>
      </c>
      <c r="H57" s="1">
        <f>IF(ISNUMBER(Screening!D11),1,0)</f>
        <v>1</v>
      </c>
    </row>
    <row r="58" spans="1:8" ht="23.1" customHeight="1">
      <c r="A58" s="1">
        <v>11</v>
      </c>
      <c r="B58" s="1" t="str">
        <f>IF(AND(LEN(Screening!B12)=0,LEN(Screening!D12)=0),"",IF(LEN(Screening!B12)=0,"MISSING",IF(OR(NOT(ISNUMBER(Screening!B12)),COUNTIF($F$48:$F$282,Screening!B12)&lt;&gt;1),"INVALID",IF(COUNTIF(Screening!$B$2:$B$236,Screening!B12)&gt;1,"DUPLICATE","OK"))))</f>
        <v>OK</v>
      </c>
      <c r="C58" s="1" t="str">
        <f>IF(AND(LEN(Screening!B12)=0,LEN(Screening!D12)=0),"",IF(AND(B58="OK",ISNUMBER(Screening!D12),Screening!C12="yes",Screening!F12&lt;&gt;"",COUNTIF(Sessions!$A$2:$A$21,Screening!I12)=1,Screening!E12&lt;&gt;"",Screening!G12&lt;&gt;"",Screening!H12=$B$16),"OK","REVIEW"))</f>
        <v>OK</v>
      </c>
      <c r="D58" s="1" t="str">
        <f>IF(A58=Screening!A12,"OK","CHANGED")</f>
        <v>OK</v>
      </c>
      <c r="E58" s="1"/>
      <c r="F58" s="1">
        <v>11</v>
      </c>
      <c r="G58" s="1">
        <f>SUMIF(Screening!$B$2:$B$236,F58,$H$48:$H$282)</f>
        <v>1</v>
      </c>
      <c r="H58" s="1">
        <f>IF(ISNUMBER(Screening!D12),1,0)</f>
        <v>1</v>
      </c>
    </row>
    <row r="59" spans="1:8" ht="23.1" customHeight="1">
      <c r="A59" s="1">
        <v>12</v>
      </c>
      <c r="B59" s="1" t="str">
        <f>IF(AND(LEN(Screening!B13)=0,LEN(Screening!D13)=0),"",IF(LEN(Screening!B13)=0,"MISSING",IF(OR(NOT(ISNUMBER(Screening!B13)),COUNTIF($F$48:$F$282,Screening!B13)&lt;&gt;1),"INVALID",IF(COUNTIF(Screening!$B$2:$B$236,Screening!B13)&gt;1,"DUPLICATE","OK"))))</f>
        <v>OK</v>
      </c>
      <c r="C59" s="1" t="str">
        <f>IF(AND(LEN(Screening!B13)=0,LEN(Screening!D13)=0),"",IF(AND(B59="OK",ISNUMBER(Screening!D13),Screening!C13="yes",Screening!F13&lt;&gt;"",COUNTIF(Sessions!$A$2:$A$21,Screening!I13)=1,Screening!E13&lt;&gt;"",Screening!G13&lt;&gt;"",Screening!H13=$B$16),"OK","REVIEW"))</f>
        <v>OK</v>
      </c>
      <c r="D59" s="1" t="str">
        <f>IF(A59=Screening!A13,"OK","CHANGED")</f>
        <v>OK</v>
      </c>
      <c r="E59" s="1"/>
      <c r="F59" s="1">
        <v>12</v>
      </c>
      <c r="G59" s="1">
        <f>SUMIF(Screening!$B$2:$B$236,F59,$H$48:$H$282)</f>
        <v>1</v>
      </c>
      <c r="H59" s="1">
        <f>IF(ISNUMBER(Screening!D13),1,0)</f>
        <v>1</v>
      </c>
    </row>
    <row r="60" spans="1:8" ht="23.1" customHeight="1">
      <c r="A60" s="1">
        <v>13</v>
      </c>
      <c r="B60" s="1" t="str">
        <f>IF(AND(LEN(Screening!B14)=0,LEN(Screening!D14)=0),"",IF(LEN(Screening!B14)=0,"MISSING",IF(OR(NOT(ISNUMBER(Screening!B14)),COUNTIF($F$48:$F$282,Screening!B14)&lt;&gt;1),"INVALID",IF(COUNTIF(Screening!$B$2:$B$236,Screening!B14)&gt;1,"DUPLICATE","OK"))))</f>
        <v>OK</v>
      </c>
      <c r="C60" s="1" t="str">
        <f>IF(AND(LEN(Screening!B14)=0,LEN(Screening!D14)=0),"",IF(AND(B60="OK",ISNUMBER(Screening!D14),Screening!C14="yes",Screening!F14&lt;&gt;"",COUNTIF(Sessions!$A$2:$A$21,Screening!I14)=1,Screening!E14&lt;&gt;"",Screening!G14&lt;&gt;"",Screening!H14=$B$16),"OK","REVIEW"))</f>
        <v>OK</v>
      </c>
      <c r="D60" s="1" t="str">
        <f>IF(A60=Screening!A14,"OK","CHANGED")</f>
        <v>OK</v>
      </c>
      <c r="E60" s="1"/>
      <c r="F60" s="1">
        <v>13</v>
      </c>
      <c r="G60" s="1">
        <f>SUMIF(Screening!$B$2:$B$236,F60,$H$48:$H$282)</f>
        <v>1</v>
      </c>
      <c r="H60" s="1">
        <f>IF(ISNUMBER(Screening!D14),1,0)</f>
        <v>1</v>
      </c>
    </row>
    <row r="61" spans="1:8" ht="23.1" customHeight="1">
      <c r="A61" s="1">
        <v>14</v>
      </c>
      <c r="B61" s="1" t="str">
        <f>IF(AND(LEN(Screening!B15)=0,LEN(Screening!D15)=0),"",IF(LEN(Screening!B15)=0,"MISSING",IF(OR(NOT(ISNUMBER(Screening!B15)),COUNTIF($F$48:$F$282,Screening!B15)&lt;&gt;1),"INVALID",IF(COUNTIF(Screening!$B$2:$B$236,Screening!B15)&gt;1,"DUPLICATE","OK"))))</f>
        <v>OK</v>
      </c>
      <c r="C61" s="1" t="str">
        <f>IF(AND(LEN(Screening!B15)=0,LEN(Screening!D15)=0),"",IF(AND(B61="OK",ISNUMBER(Screening!D15),Screening!C15="yes",Screening!F15&lt;&gt;"",COUNTIF(Sessions!$A$2:$A$21,Screening!I15)=1,Screening!E15&lt;&gt;"",Screening!G15&lt;&gt;"",Screening!H15=$B$16),"OK","REVIEW"))</f>
        <v>OK</v>
      </c>
      <c r="D61" s="1" t="str">
        <f>IF(A61=Screening!A15,"OK","CHANGED")</f>
        <v>OK</v>
      </c>
      <c r="E61" s="1"/>
      <c r="F61" s="1">
        <v>14</v>
      </c>
      <c r="G61" s="1">
        <f>SUMIF(Screening!$B$2:$B$236,F61,$H$48:$H$282)</f>
        <v>1</v>
      </c>
      <c r="H61" s="1">
        <f>IF(ISNUMBER(Screening!D15),1,0)</f>
        <v>1</v>
      </c>
    </row>
    <row r="62" spans="1:8" ht="23.1" customHeight="1">
      <c r="A62" s="1">
        <v>15</v>
      </c>
      <c r="B62" s="1" t="str">
        <f>IF(AND(LEN(Screening!B16)=0,LEN(Screening!D16)=0),"",IF(LEN(Screening!B16)=0,"MISSING",IF(OR(NOT(ISNUMBER(Screening!B16)),COUNTIF($F$48:$F$282,Screening!B16)&lt;&gt;1),"INVALID",IF(COUNTIF(Screening!$B$2:$B$236,Screening!B16)&gt;1,"DUPLICATE","OK"))))</f>
        <v>OK</v>
      </c>
      <c r="C62" s="1" t="str">
        <f>IF(AND(LEN(Screening!B16)=0,LEN(Screening!D16)=0),"",IF(AND(B62="OK",ISNUMBER(Screening!D16),Screening!C16="yes",Screening!F16&lt;&gt;"",COUNTIF(Sessions!$A$2:$A$21,Screening!I16)=1,Screening!E16&lt;&gt;"",Screening!G16&lt;&gt;"",Screening!H16=$B$16),"OK","REVIEW"))</f>
        <v>OK</v>
      </c>
      <c r="D62" s="1" t="str">
        <f>IF(A62=Screening!A16,"OK","CHANGED")</f>
        <v>OK</v>
      </c>
      <c r="E62" s="1"/>
      <c r="F62" s="1">
        <v>15</v>
      </c>
      <c r="G62" s="1">
        <f>SUMIF(Screening!$B$2:$B$236,F62,$H$48:$H$282)</f>
        <v>1</v>
      </c>
      <c r="H62" s="1">
        <f>IF(ISNUMBER(Screening!D16),1,0)</f>
        <v>1</v>
      </c>
    </row>
    <row r="63" spans="1:8" ht="23.1" customHeight="1">
      <c r="A63" s="1">
        <v>16</v>
      </c>
      <c r="B63" s="1" t="str">
        <f>IF(AND(LEN(Screening!B17)=0,LEN(Screening!D17)=0),"",IF(LEN(Screening!B17)=0,"MISSING",IF(OR(NOT(ISNUMBER(Screening!B17)),COUNTIF($F$48:$F$282,Screening!B17)&lt;&gt;1),"INVALID",IF(COUNTIF(Screening!$B$2:$B$236,Screening!B17)&gt;1,"DUPLICATE","OK"))))</f>
        <v>OK</v>
      </c>
      <c r="C63" s="1" t="str">
        <f>IF(AND(LEN(Screening!B17)=0,LEN(Screening!D17)=0),"",IF(AND(B63="OK",ISNUMBER(Screening!D17),Screening!C17="yes",Screening!F17&lt;&gt;"",COUNTIF(Sessions!$A$2:$A$21,Screening!I17)=1,Screening!E17&lt;&gt;"",Screening!G17&lt;&gt;"",Screening!H17=$B$16),"OK","REVIEW"))</f>
        <v>OK</v>
      </c>
      <c r="D63" s="1" t="str">
        <f>IF(A63=Screening!A17,"OK","CHANGED")</f>
        <v>OK</v>
      </c>
      <c r="E63" s="1"/>
      <c r="F63" s="1">
        <v>16</v>
      </c>
      <c r="G63" s="1">
        <f>SUMIF(Screening!$B$2:$B$236,F63,$H$48:$H$282)</f>
        <v>1</v>
      </c>
      <c r="H63" s="1">
        <f>IF(ISNUMBER(Screening!D17),1,0)</f>
        <v>1</v>
      </c>
    </row>
    <row r="64" spans="1:8" ht="23.1" customHeight="1">
      <c r="A64" s="1">
        <v>17</v>
      </c>
      <c r="B64" s="1" t="str">
        <f>IF(AND(LEN(Screening!B18)=0,LEN(Screening!D18)=0),"",IF(LEN(Screening!B18)=0,"MISSING",IF(OR(NOT(ISNUMBER(Screening!B18)),COUNTIF($F$48:$F$282,Screening!B18)&lt;&gt;1),"INVALID",IF(COUNTIF(Screening!$B$2:$B$236,Screening!B18)&gt;1,"DUPLICATE","OK"))))</f>
        <v>OK</v>
      </c>
      <c r="C64" s="1" t="str">
        <f>IF(AND(LEN(Screening!B18)=0,LEN(Screening!D18)=0),"",IF(AND(B64="OK",ISNUMBER(Screening!D18),Screening!C18="yes",Screening!F18&lt;&gt;"",COUNTIF(Sessions!$A$2:$A$21,Screening!I18)=1,Screening!E18&lt;&gt;"",Screening!G18&lt;&gt;"",Screening!H18=$B$16),"OK","REVIEW"))</f>
        <v>OK</v>
      </c>
      <c r="D64" s="1" t="str">
        <f>IF(A64=Screening!A18,"OK","CHANGED")</f>
        <v>OK</v>
      </c>
      <c r="E64" s="1"/>
      <c r="F64" s="1">
        <v>17</v>
      </c>
      <c r="G64" s="1">
        <f>SUMIF(Screening!$B$2:$B$236,F64,$H$48:$H$282)</f>
        <v>1</v>
      </c>
      <c r="H64" s="1">
        <f>IF(ISNUMBER(Screening!D18),1,0)</f>
        <v>1</v>
      </c>
    </row>
    <row r="65" spans="1:8" ht="23.1" customHeight="1">
      <c r="A65" s="1">
        <v>18</v>
      </c>
      <c r="B65" s="1" t="str">
        <f>IF(AND(LEN(Screening!B19)=0,LEN(Screening!D19)=0),"",IF(LEN(Screening!B19)=0,"MISSING",IF(OR(NOT(ISNUMBER(Screening!B19)),COUNTIF($F$48:$F$282,Screening!B19)&lt;&gt;1),"INVALID",IF(COUNTIF(Screening!$B$2:$B$236,Screening!B19)&gt;1,"DUPLICATE","OK"))))</f>
        <v>OK</v>
      </c>
      <c r="C65" s="1" t="str">
        <f>IF(AND(LEN(Screening!B19)=0,LEN(Screening!D19)=0),"",IF(AND(B65="OK",ISNUMBER(Screening!D19),Screening!C19="yes",Screening!F19&lt;&gt;"",COUNTIF(Sessions!$A$2:$A$21,Screening!I19)=1,Screening!E19&lt;&gt;"",Screening!G19&lt;&gt;"",Screening!H19=$B$16),"OK","REVIEW"))</f>
        <v>OK</v>
      </c>
      <c r="D65" s="1" t="str">
        <f>IF(A65=Screening!A19,"OK","CHANGED")</f>
        <v>OK</v>
      </c>
      <c r="E65" s="1"/>
      <c r="F65" s="1">
        <v>18</v>
      </c>
      <c r="G65" s="1">
        <f>SUMIF(Screening!$B$2:$B$236,F65,$H$48:$H$282)</f>
        <v>1</v>
      </c>
      <c r="H65" s="1">
        <f>IF(ISNUMBER(Screening!D19),1,0)</f>
        <v>1</v>
      </c>
    </row>
    <row r="66" spans="1:8" ht="23.1" customHeight="1">
      <c r="A66" s="1">
        <v>19</v>
      </c>
      <c r="B66" s="1" t="str">
        <f>IF(AND(LEN(Screening!B20)=0,LEN(Screening!D20)=0),"",IF(LEN(Screening!B20)=0,"MISSING",IF(OR(NOT(ISNUMBER(Screening!B20)),COUNTIF($F$48:$F$282,Screening!B20)&lt;&gt;1),"INVALID",IF(COUNTIF(Screening!$B$2:$B$236,Screening!B20)&gt;1,"DUPLICATE","OK"))))</f>
        <v>OK</v>
      </c>
      <c r="C66" s="1" t="str">
        <f>IF(AND(LEN(Screening!B20)=0,LEN(Screening!D20)=0),"",IF(AND(B66="OK",ISNUMBER(Screening!D20),Screening!C20="yes",Screening!F20&lt;&gt;"",COUNTIF(Sessions!$A$2:$A$21,Screening!I20)=1,Screening!E20&lt;&gt;"",Screening!G20&lt;&gt;"",Screening!H20=$B$16),"OK","REVIEW"))</f>
        <v>OK</v>
      </c>
      <c r="D66" s="1" t="str">
        <f>IF(A66=Screening!A20,"OK","CHANGED")</f>
        <v>OK</v>
      </c>
      <c r="E66" s="1"/>
      <c r="F66" s="1">
        <v>19</v>
      </c>
      <c r="G66" s="1">
        <f>SUMIF(Screening!$B$2:$B$236,F66,$H$48:$H$282)</f>
        <v>1</v>
      </c>
      <c r="H66" s="1">
        <f>IF(ISNUMBER(Screening!D20),1,0)</f>
        <v>1</v>
      </c>
    </row>
    <row r="67" spans="1:8" ht="23.1" customHeight="1">
      <c r="A67" s="1">
        <v>20</v>
      </c>
      <c r="B67" s="1" t="str">
        <f>IF(AND(LEN(Screening!B21)=0,LEN(Screening!D21)=0),"",IF(LEN(Screening!B21)=0,"MISSING",IF(OR(NOT(ISNUMBER(Screening!B21)),COUNTIF($F$48:$F$282,Screening!B21)&lt;&gt;1),"INVALID",IF(COUNTIF(Screening!$B$2:$B$236,Screening!B21)&gt;1,"DUPLICATE","OK"))))</f>
        <v>OK</v>
      </c>
      <c r="C67" s="1" t="str">
        <f>IF(AND(LEN(Screening!B21)=0,LEN(Screening!D21)=0),"",IF(AND(B67="OK",ISNUMBER(Screening!D21),Screening!C21="yes",Screening!F21&lt;&gt;"",COUNTIF(Sessions!$A$2:$A$21,Screening!I21)=1,Screening!E21&lt;&gt;"",Screening!G21&lt;&gt;"",Screening!H21=$B$16),"OK","REVIEW"))</f>
        <v>OK</v>
      </c>
      <c r="D67" s="1" t="str">
        <f>IF(A67=Screening!A21,"OK","CHANGED")</f>
        <v>OK</v>
      </c>
      <c r="E67" s="1"/>
      <c r="F67" s="1">
        <v>20</v>
      </c>
      <c r="G67" s="1">
        <f>SUMIF(Screening!$B$2:$B$236,F67,$H$48:$H$282)</f>
        <v>1</v>
      </c>
      <c r="H67" s="1">
        <f>IF(ISNUMBER(Screening!D21),1,0)</f>
        <v>1</v>
      </c>
    </row>
    <row r="68" spans="1:8" ht="23.1" customHeight="1">
      <c r="A68" s="1">
        <v>21</v>
      </c>
      <c r="B68" s="1" t="str">
        <f>IF(AND(LEN(Screening!B22)=0,LEN(Screening!D22)=0),"",IF(LEN(Screening!B22)=0,"MISSING",IF(OR(NOT(ISNUMBER(Screening!B22)),COUNTIF($F$48:$F$282,Screening!B22)&lt;&gt;1),"INVALID",IF(COUNTIF(Screening!$B$2:$B$236,Screening!B22)&gt;1,"DUPLICATE","OK"))))</f>
        <v>OK</v>
      </c>
      <c r="C68" s="1" t="str">
        <f>IF(AND(LEN(Screening!B22)=0,LEN(Screening!D22)=0),"",IF(AND(B68="OK",ISNUMBER(Screening!D22),Screening!C22="yes",Screening!F22&lt;&gt;"",COUNTIF(Sessions!$A$2:$A$21,Screening!I22)=1,Screening!E22&lt;&gt;"",Screening!G22&lt;&gt;"",Screening!H22=$B$16),"OK","REVIEW"))</f>
        <v>OK</v>
      </c>
      <c r="D68" s="1" t="str">
        <f>IF(A68=Screening!A22,"OK","CHANGED")</f>
        <v>OK</v>
      </c>
      <c r="E68" s="1"/>
      <c r="F68" s="1">
        <v>21</v>
      </c>
      <c r="G68" s="1">
        <f>SUMIF(Screening!$B$2:$B$236,F68,$H$48:$H$282)</f>
        <v>1</v>
      </c>
      <c r="H68" s="1">
        <f>IF(ISNUMBER(Screening!D22),1,0)</f>
        <v>1</v>
      </c>
    </row>
    <row r="69" spans="1:8" ht="23.1" customHeight="1">
      <c r="A69" s="1">
        <v>22</v>
      </c>
      <c r="B69" s="1" t="str">
        <f>IF(AND(LEN(Screening!B23)=0,LEN(Screening!D23)=0),"",IF(LEN(Screening!B23)=0,"MISSING",IF(OR(NOT(ISNUMBER(Screening!B23)),COUNTIF($F$48:$F$282,Screening!B23)&lt;&gt;1),"INVALID",IF(COUNTIF(Screening!$B$2:$B$236,Screening!B23)&gt;1,"DUPLICATE","OK"))))</f>
        <v>OK</v>
      </c>
      <c r="C69" s="1" t="str">
        <f>IF(AND(LEN(Screening!B23)=0,LEN(Screening!D23)=0),"",IF(AND(B69="OK",ISNUMBER(Screening!D23),Screening!C23="yes",Screening!F23&lt;&gt;"",COUNTIF(Sessions!$A$2:$A$21,Screening!I23)=1,Screening!E23&lt;&gt;"",Screening!G23&lt;&gt;"",Screening!H23=$B$16),"OK","REVIEW"))</f>
        <v>OK</v>
      </c>
      <c r="D69" s="1" t="str">
        <f>IF(A69=Screening!A23,"OK","CHANGED")</f>
        <v>OK</v>
      </c>
      <c r="E69" s="1"/>
      <c r="F69" s="1">
        <v>22</v>
      </c>
      <c r="G69" s="1">
        <f>SUMIF(Screening!$B$2:$B$236,F69,$H$48:$H$282)</f>
        <v>1</v>
      </c>
      <c r="H69" s="1">
        <f>IF(ISNUMBER(Screening!D23),1,0)</f>
        <v>1</v>
      </c>
    </row>
    <row r="70" spans="1:8" ht="23.1" customHeight="1">
      <c r="A70" s="1">
        <v>23</v>
      </c>
      <c r="B70" s="1" t="str">
        <f>IF(AND(LEN(Screening!B24)=0,LEN(Screening!D24)=0),"",IF(LEN(Screening!B24)=0,"MISSING",IF(OR(NOT(ISNUMBER(Screening!B24)),COUNTIF($F$48:$F$282,Screening!B24)&lt;&gt;1),"INVALID",IF(COUNTIF(Screening!$B$2:$B$236,Screening!B24)&gt;1,"DUPLICATE","OK"))))</f>
        <v>OK</v>
      </c>
      <c r="C70" s="1" t="str">
        <f>IF(AND(LEN(Screening!B24)=0,LEN(Screening!D24)=0),"",IF(AND(B70="OK",ISNUMBER(Screening!D24),Screening!C24="yes",Screening!F24&lt;&gt;"",COUNTIF(Sessions!$A$2:$A$21,Screening!I24)=1,Screening!E24&lt;&gt;"",Screening!G24&lt;&gt;"",Screening!H24=$B$16),"OK","REVIEW"))</f>
        <v>OK</v>
      </c>
      <c r="D70" s="1" t="str">
        <f>IF(A70=Screening!A24,"OK","CHANGED")</f>
        <v>OK</v>
      </c>
      <c r="E70" s="1"/>
      <c r="F70" s="1">
        <v>23</v>
      </c>
      <c r="G70" s="1">
        <f>SUMIF(Screening!$B$2:$B$236,F70,$H$48:$H$282)</f>
        <v>1</v>
      </c>
      <c r="H70" s="1">
        <f>IF(ISNUMBER(Screening!D24),1,0)</f>
        <v>1</v>
      </c>
    </row>
    <row r="71" spans="1:8" ht="23.1" customHeight="1">
      <c r="A71" s="1">
        <v>24</v>
      </c>
      <c r="B71" s="1" t="str">
        <f>IF(AND(LEN(Screening!B25)=0,LEN(Screening!D25)=0),"",IF(LEN(Screening!B25)=0,"MISSING",IF(OR(NOT(ISNUMBER(Screening!B25)),COUNTIF($F$48:$F$282,Screening!B25)&lt;&gt;1),"INVALID",IF(COUNTIF(Screening!$B$2:$B$236,Screening!B25)&gt;1,"DUPLICATE","OK"))))</f>
        <v>OK</v>
      </c>
      <c r="C71" s="1" t="str">
        <f>IF(AND(LEN(Screening!B25)=0,LEN(Screening!D25)=0),"",IF(AND(B71="OK",ISNUMBER(Screening!D25),Screening!C25="yes",Screening!F25&lt;&gt;"",COUNTIF(Sessions!$A$2:$A$21,Screening!I25)=1,Screening!E25&lt;&gt;"",Screening!G25&lt;&gt;"",Screening!H25=$B$16),"OK","REVIEW"))</f>
        <v>OK</v>
      </c>
      <c r="D71" s="1" t="str">
        <f>IF(A71=Screening!A25,"OK","CHANGED")</f>
        <v>OK</v>
      </c>
      <c r="E71" s="1"/>
      <c r="F71" s="1">
        <v>24</v>
      </c>
      <c r="G71" s="1">
        <f>SUMIF(Screening!$B$2:$B$236,F71,$H$48:$H$282)</f>
        <v>1</v>
      </c>
      <c r="H71" s="1">
        <f>IF(ISNUMBER(Screening!D25),1,0)</f>
        <v>1</v>
      </c>
    </row>
    <row r="72" spans="1:8" ht="23.1" customHeight="1">
      <c r="A72" s="1">
        <v>25</v>
      </c>
      <c r="B72" s="1" t="str">
        <f>IF(AND(LEN(Screening!B26)=0,LEN(Screening!D26)=0),"",IF(LEN(Screening!B26)=0,"MISSING",IF(OR(NOT(ISNUMBER(Screening!B26)),COUNTIF($F$48:$F$282,Screening!B26)&lt;&gt;1),"INVALID",IF(COUNTIF(Screening!$B$2:$B$236,Screening!B26)&gt;1,"DUPLICATE","OK"))))</f>
        <v>OK</v>
      </c>
      <c r="C72" s="1" t="str">
        <f>IF(AND(LEN(Screening!B26)=0,LEN(Screening!D26)=0),"",IF(AND(B72="OK",ISNUMBER(Screening!D26),Screening!C26="yes",Screening!F26&lt;&gt;"",COUNTIF(Sessions!$A$2:$A$21,Screening!I26)=1,Screening!E26&lt;&gt;"",Screening!G26&lt;&gt;"",Screening!H26=$B$16),"OK","REVIEW"))</f>
        <v>OK</v>
      </c>
      <c r="D72" s="1" t="str">
        <f>IF(A72=Screening!A26,"OK","CHANGED")</f>
        <v>OK</v>
      </c>
      <c r="E72" s="1"/>
      <c r="F72" s="1">
        <v>25</v>
      </c>
      <c r="G72" s="1">
        <f>SUMIF(Screening!$B$2:$B$236,F72,$H$48:$H$282)</f>
        <v>1</v>
      </c>
      <c r="H72" s="1">
        <f>IF(ISNUMBER(Screening!D26),1,0)</f>
        <v>1</v>
      </c>
    </row>
    <row r="73" spans="1:8" ht="23.1" customHeight="1">
      <c r="A73" s="1">
        <v>26</v>
      </c>
      <c r="B73" s="1" t="str">
        <f>IF(AND(LEN(Screening!B27)=0,LEN(Screening!D27)=0),"",IF(LEN(Screening!B27)=0,"MISSING",IF(OR(NOT(ISNUMBER(Screening!B27)),COUNTIF($F$48:$F$282,Screening!B27)&lt;&gt;1),"INVALID",IF(COUNTIF(Screening!$B$2:$B$236,Screening!B27)&gt;1,"DUPLICATE","OK"))))</f>
        <v>OK</v>
      </c>
      <c r="C73" s="1" t="str">
        <f>IF(AND(LEN(Screening!B27)=0,LEN(Screening!D27)=0),"",IF(AND(B73="OK",ISNUMBER(Screening!D27),Screening!C27="yes",Screening!F27&lt;&gt;"",COUNTIF(Sessions!$A$2:$A$21,Screening!I27)=1,Screening!E27&lt;&gt;"",Screening!G27&lt;&gt;"",Screening!H27=$B$16),"OK","REVIEW"))</f>
        <v>OK</v>
      </c>
      <c r="D73" s="1" t="str">
        <f>IF(A73=Screening!A27,"OK","CHANGED")</f>
        <v>OK</v>
      </c>
      <c r="E73" s="1"/>
      <c r="F73" s="1">
        <v>26</v>
      </c>
      <c r="G73" s="1">
        <f>SUMIF(Screening!$B$2:$B$236,F73,$H$48:$H$282)</f>
        <v>1</v>
      </c>
      <c r="H73" s="1">
        <f>IF(ISNUMBER(Screening!D27),1,0)</f>
        <v>1</v>
      </c>
    </row>
    <row r="74" spans="1:8" ht="23.1" customHeight="1">
      <c r="A74" s="1">
        <v>27</v>
      </c>
      <c r="B74" s="1" t="str">
        <f>IF(AND(LEN(Screening!B28)=0,LEN(Screening!D28)=0),"",IF(LEN(Screening!B28)=0,"MISSING",IF(OR(NOT(ISNUMBER(Screening!B28)),COUNTIF($F$48:$F$282,Screening!B28)&lt;&gt;1),"INVALID",IF(COUNTIF(Screening!$B$2:$B$236,Screening!B28)&gt;1,"DUPLICATE","OK"))))</f>
        <v>OK</v>
      </c>
      <c r="C74" s="1" t="str">
        <f>IF(AND(LEN(Screening!B28)=0,LEN(Screening!D28)=0),"",IF(AND(B74="OK",ISNUMBER(Screening!D28),Screening!C28="yes",Screening!F28&lt;&gt;"",COUNTIF(Sessions!$A$2:$A$21,Screening!I28)=1,Screening!E28&lt;&gt;"",Screening!G28&lt;&gt;"",Screening!H28=$B$16),"OK","REVIEW"))</f>
        <v>OK</v>
      </c>
      <c r="D74" s="1" t="str">
        <f>IF(A74=Screening!A28,"OK","CHANGED")</f>
        <v>OK</v>
      </c>
      <c r="E74" s="1"/>
      <c r="F74" s="1">
        <v>27</v>
      </c>
      <c r="G74" s="1">
        <f>SUMIF(Screening!$B$2:$B$236,F74,$H$48:$H$282)</f>
        <v>1</v>
      </c>
      <c r="H74" s="1">
        <f>IF(ISNUMBER(Screening!D28),1,0)</f>
        <v>1</v>
      </c>
    </row>
    <row r="75" spans="1:8" ht="23.1" customHeight="1">
      <c r="A75" s="1">
        <v>28</v>
      </c>
      <c r="B75" s="1" t="str">
        <f>IF(AND(LEN(Screening!B29)=0,LEN(Screening!D29)=0),"",IF(LEN(Screening!B29)=0,"MISSING",IF(OR(NOT(ISNUMBER(Screening!B29)),COUNTIF($F$48:$F$282,Screening!B29)&lt;&gt;1),"INVALID",IF(COUNTIF(Screening!$B$2:$B$236,Screening!B29)&gt;1,"DUPLICATE","OK"))))</f>
        <v>OK</v>
      </c>
      <c r="C75" s="1" t="str">
        <f>IF(AND(LEN(Screening!B29)=0,LEN(Screening!D29)=0),"",IF(AND(B75="OK",ISNUMBER(Screening!D29),Screening!C29="yes",Screening!F29&lt;&gt;"",COUNTIF(Sessions!$A$2:$A$21,Screening!I29)=1,Screening!E29&lt;&gt;"",Screening!G29&lt;&gt;"",Screening!H29=$B$16),"OK","REVIEW"))</f>
        <v>OK</v>
      </c>
      <c r="D75" s="1" t="str">
        <f>IF(A75=Screening!A29,"OK","CHANGED")</f>
        <v>OK</v>
      </c>
      <c r="E75" s="1"/>
      <c r="F75" s="1">
        <v>28</v>
      </c>
      <c r="G75" s="1">
        <f>SUMIF(Screening!$B$2:$B$236,F75,$H$48:$H$282)</f>
        <v>1</v>
      </c>
      <c r="H75" s="1">
        <f>IF(ISNUMBER(Screening!D29),1,0)</f>
        <v>1</v>
      </c>
    </row>
    <row r="76" spans="1:8" ht="23.1" customHeight="1">
      <c r="A76" s="1">
        <v>29</v>
      </c>
      <c r="B76" s="1" t="str">
        <f>IF(AND(LEN(Screening!B30)=0,LEN(Screening!D30)=0),"",IF(LEN(Screening!B30)=0,"MISSING",IF(OR(NOT(ISNUMBER(Screening!B30)),COUNTIF($F$48:$F$282,Screening!B30)&lt;&gt;1),"INVALID",IF(COUNTIF(Screening!$B$2:$B$236,Screening!B30)&gt;1,"DUPLICATE","OK"))))</f>
        <v>OK</v>
      </c>
      <c r="C76" s="1" t="str">
        <f>IF(AND(LEN(Screening!B30)=0,LEN(Screening!D30)=0),"",IF(AND(B76="OK",ISNUMBER(Screening!D30),Screening!C30="yes",Screening!F30&lt;&gt;"",COUNTIF(Sessions!$A$2:$A$21,Screening!I30)=1,Screening!E30&lt;&gt;"",Screening!G30&lt;&gt;"",Screening!H30=$B$16),"OK","REVIEW"))</f>
        <v>OK</v>
      </c>
      <c r="D76" s="1" t="str">
        <f>IF(A76=Screening!A30,"OK","CHANGED")</f>
        <v>OK</v>
      </c>
      <c r="E76" s="1"/>
      <c r="F76" s="1">
        <v>29</v>
      </c>
      <c r="G76" s="1">
        <f>SUMIF(Screening!$B$2:$B$236,F76,$H$48:$H$282)</f>
        <v>1</v>
      </c>
      <c r="H76" s="1">
        <f>IF(ISNUMBER(Screening!D30),1,0)</f>
        <v>1</v>
      </c>
    </row>
    <row r="77" spans="1:8" ht="23.1" customHeight="1">
      <c r="A77" s="1">
        <v>30</v>
      </c>
      <c r="B77" s="1" t="str">
        <f>IF(AND(LEN(Screening!B31)=0,LEN(Screening!D31)=0),"",IF(LEN(Screening!B31)=0,"MISSING",IF(OR(NOT(ISNUMBER(Screening!B31)),COUNTIF($F$48:$F$282,Screening!B31)&lt;&gt;1),"INVALID",IF(COUNTIF(Screening!$B$2:$B$236,Screening!B31)&gt;1,"DUPLICATE","OK"))))</f>
        <v>OK</v>
      </c>
      <c r="C77" s="1" t="str">
        <f>IF(AND(LEN(Screening!B31)=0,LEN(Screening!D31)=0),"",IF(AND(B77="OK",ISNUMBER(Screening!D31),Screening!C31="yes",Screening!F31&lt;&gt;"",COUNTIF(Sessions!$A$2:$A$21,Screening!I31)=1,Screening!E31&lt;&gt;"",Screening!G31&lt;&gt;"",Screening!H31=$B$16),"OK","REVIEW"))</f>
        <v>OK</v>
      </c>
      <c r="D77" s="1" t="str">
        <f>IF(A77=Screening!A31,"OK","CHANGED")</f>
        <v>OK</v>
      </c>
      <c r="E77" s="1"/>
      <c r="F77" s="1">
        <v>30</v>
      </c>
      <c r="G77" s="1">
        <f>SUMIF(Screening!$B$2:$B$236,F77,$H$48:$H$282)</f>
        <v>1</v>
      </c>
      <c r="H77" s="1">
        <f>IF(ISNUMBER(Screening!D31),1,0)</f>
        <v>1</v>
      </c>
    </row>
    <row r="78" spans="1:8" ht="23.1" customHeight="1">
      <c r="A78" s="1">
        <v>31</v>
      </c>
      <c r="B78" s="1" t="str">
        <f>IF(AND(LEN(Screening!B32)=0,LEN(Screening!D32)=0),"",IF(LEN(Screening!B32)=0,"MISSING",IF(OR(NOT(ISNUMBER(Screening!B32)),COUNTIF($F$48:$F$282,Screening!B32)&lt;&gt;1),"INVALID",IF(COUNTIF(Screening!$B$2:$B$236,Screening!B32)&gt;1,"DUPLICATE","OK"))))</f>
        <v>OK</v>
      </c>
      <c r="C78" s="1" t="str">
        <f>IF(AND(LEN(Screening!B32)=0,LEN(Screening!D32)=0),"",IF(AND(B78="OK",ISNUMBER(Screening!D32),Screening!C32="yes",Screening!F32&lt;&gt;"",COUNTIF(Sessions!$A$2:$A$21,Screening!I32)=1,Screening!E32&lt;&gt;"",Screening!G32&lt;&gt;"",Screening!H32=$B$16),"OK","REVIEW"))</f>
        <v>OK</v>
      </c>
      <c r="D78" s="1" t="str">
        <f>IF(A78=Screening!A32,"OK","CHANGED")</f>
        <v>OK</v>
      </c>
      <c r="E78" s="1"/>
      <c r="F78" s="1">
        <v>31</v>
      </c>
      <c r="G78" s="1">
        <f>SUMIF(Screening!$B$2:$B$236,F78,$H$48:$H$282)</f>
        <v>1</v>
      </c>
      <c r="H78" s="1">
        <f>IF(ISNUMBER(Screening!D32),1,0)</f>
        <v>1</v>
      </c>
    </row>
    <row r="79" spans="1:8" ht="23.1" customHeight="1">
      <c r="A79" s="1">
        <v>32</v>
      </c>
      <c r="B79" s="1" t="str">
        <f>IF(AND(LEN(Screening!B33)=0,LEN(Screening!D33)=0),"",IF(LEN(Screening!B33)=0,"MISSING",IF(OR(NOT(ISNUMBER(Screening!B33)),COUNTIF($F$48:$F$282,Screening!B33)&lt;&gt;1),"INVALID",IF(COUNTIF(Screening!$B$2:$B$236,Screening!B33)&gt;1,"DUPLICATE","OK"))))</f>
        <v>OK</v>
      </c>
      <c r="C79" s="1" t="str">
        <f>IF(AND(LEN(Screening!B33)=0,LEN(Screening!D33)=0),"",IF(AND(B79="OK",ISNUMBER(Screening!D33),Screening!C33="yes",Screening!F33&lt;&gt;"",COUNTIF(Sessions!$A$2:$A$21,Screening!I33)=1,Screening!E33&lt;&gt;"",Screening!G33&lt;&gt;"",Screening!H33=$B$16),"OK","REVIEW"))</f>
        <v>OK</v>
      </c>
      <c r="D79" s="1" t="str">
        <f>IF(A79=Screening!A33,"OK","CHANGED")</f>
        <v>OK</v>
      </c>
      <c r="E79" s="1"/>
      <c r="F79" s="1">
        <v>32</v>
      </c>
      <c r="G79" s="1">
        <f>SUMIF(Screening!$B$2:$B$236,F79,$H$48:$H$282)</f>
        <v>1</v>
      </c>
      <c r="H79" s="1">
        <f>IF(ISNUMBER(Screening!D33),1,0)</f>
        <v>1</v>
      </c>
    </row>
    <row r="80" spans="1:8" ht="23.1" customHeight="1">
      <c r="A80" s="1">
        <v>33</v>
      </c>
      <c r="B80" s="1" t="str">
        <f>IF(AND(LEN(Screening!B34)=0,LEN(Screening!D34)=0),"",IF(LEN(Screening!B34)=0,"MISSING",IF(OR(NOT(ISNUMBER(Screening!B34)),COUNTIF($F$48:$F$282,Screening!B34)&lt;&gt;1),"INVALID",IF(COUNTIF(Screening!$B$2:$B$236,Screening!B34)&gt;1,"DUPLICATE","OK"))))</f>
        <v>OK</v>
      </c>
      <c r="C80" s="1" t="str">
        <f>IF(AND(LEN(Screening!B34)=0,LEN(Screening!D34)=0),"",IF(AND(B80="OK",ISNUMBER(Screening!D34),Screening!C34="yes",Screening!F34&lt;&gt;"",COUNTIF(Sessions!$A$2:$A$21,Screening!I34)=1,Screening!E34&lt;&gt;"",Screening!G34&lt;&gt;"",Screening!H34=$B$16),"OK","REVIEW"))</f>
        <v>OK</v>
      </c>
      <c r="D80" s="1" t="str">
        <f>IF(A80=Screening!A34,"OK","CHANGED")</f>
        <v>OK</v>
      </c>
      <c r="E80" s="1"/>
      <c r="F80" s="1">
        <v>33</v>
      </c>
      <c r="G80" s="1">
        <f>SUMIF(Screening!$B$2:$B$236,F80,$H$48:$H$282)</f>
        <v>1</v>
      </c>
      <c r="H80" s="1">
        <f>IF(ISNUMBER(Screening!D34),1,0)</f>
        <v>1</v>
      </c>
    </row>
    <row r="81" spans="1:8" ht="23.1" customHeight="1">
      <c r="A81" s="1">
        <v>34</v>
      </c>
      <c r="B81" s="1" t="str">
        <f>IF(AND(LEN(Screening!B35)=0,LEN(Screening!D35)=0),"",IF(LEN(Screening!B35)=0,"MISSING",IF(OR(NOT(ISNUMBER(Screening!B35)),COUNTIF($F$48:$F$282,Screening!B35)&lt;&gt;1),"INVALID",IF(COUNTIF(Screening!$B$2:$B$236,Screening!B35)&gt;1,"DUPLICATE","OK"))))</f>
        <v>OK</v>
      </c>
      <c r="C81" s="1" t="str">
        <f>IF(AND(LEN(Screening!B35)=0,LEN(Screening!D35)=0),"",IF(AND(B81="OK",ISNUMBER(Screening!D35),Screening!C35="yes",Screening!F35&lt;&gt;"",COUNTIF(Sessions!$A$2:$A$21,Screening!I35)=1,Screening!E35&lt;&gt;"",Screening!G35&lt;&gt;"",Screening!H35=$B$16),"OK","REVIEW"))</f>
        <v>OK</v>
      </c>
      <c r="D81" s="1" t="str">
        <f>IF(A81=Screening!A35,"OK","CHANGED")</f>
        <v>OK</v>
      </c>
      <c r="E81" s="1"/>
      <c r="F81" s="1">
        <v>34</v>
      </c>
      <c r="G81" s="1">
        <f>SUMIF(Screening!$B$2:$B$236,F81,$H$48:$H$282)</f>
        <v>1</v>
      </c>
      <c r="H81" s="1">
        <f>IF(ISNUMBER(Screening!D35),1,0)</f>
        <v>1</v>
      </c>
    </row>
    <row r="82" spans="1:8" ht="23.1" customHeight="1">
      <c r="A82" s="1">
        <v>35</v>
      </c>
      <c r="B82" s="1" t="str">
        <f>IF(AND(LEN(Screening!B36)=0,LEN(Screening!D36)=0),"",IF(LEN(Screening!B36)=0,"MISSING",IF(OR(NOT(ISNUMBER(Screening!B36)),COUNTIF($F$48:$F$282,Screening!B36)&lt;&gt;1),"INVALID",IF(COUNTIF(Screening!$B$2:$B$236,Screening!B36)&gt;1,"DUPLICATE","OK"))))</f>
        <v>OK</v>
      </c>
      <c r="C82" s="1" t="str">
        <f>IF(AND(LEN(Screening!B36)=0,LEN(Screening!D36)=0),"",IF(AND(B82="OK",ISNUMBER(Screening!D36),Screening!C36="yes",Screening!F36&lt;&gt;"",COUNTIF(Sessions!$A$2:$A$21,Screening!I36)=1,Screening!E36&lt;&gt;"",Screening!G36&lt;&gt;"",Screening!H36=$B$16),"OK","REVIEW"))</f>
        <v>OK</v>
      </c>
      <c r="D82" s="1" t="str">
        <f>IF(A82=Screening!A36,"OK","CHANGED")</f>
        <v>OK</v>
      </c>
      <c r="E82" s="1"/>
      <c r="F82" s="1">
        <v>35</v>
      </c>
      <c r="G82" s="1">
        <f>SUMIF(Screening!$B$2:$B$236,F82,$H$48:$H$282)</f>
        <v>1</v>
      </c>
      <c r="H82" s="1">
        <f>IF(ISNUMBER(Screening!D36),1,0)</f>
        <v>1</v>
      </c>
    </row>
    <row r="83" spans="1:8" ht="23.1" customHeight="1">
      <c r="A83" s="1">
        <v>36</v>
      </c>
      <c r="B83" s="1" t="str">
        <f>IF(AND(LEN(Screening!B37)=0,LEN(Screening!D37)=0),"",IF(LEN(Screening!B37)=0,"MISSING",IF(OR(NOT(ISNUMBER(Screening!B37)),COUNTIF($F$48:$F$282,Screening!B37)&lt;&gt;1),"INVALID",IF(COUNTIF(Screening!$B$2:$B$236,Screening!B37)&gt;1,"DUPLICATE","OK"))))</f>
        <v>OK</v>
      </c>
      <c r="C83" s="1" t="str">
        <f>IF(AND(LEN(Screening!B37)=0,LEN(Screening!D37)=0),"",IF(AND(B83="OK",ISNUMBER(Screening!D37),Screening!C37="yes",Screening!F37&lt;&gt;"",COUNTIF(Sessions!$A$2:$A$21,Screening!I37)=1,Screening!E37&lt;&gt;"",Screening!G37&lt;&gt;"",Screening!H37=$B$16),"OK","REVIEW"))</f>
        <v>OK</v>
      </c>
      <c r="D83" s="1" t="str">
        <f>IF(A83=Screening!A37,"OK","CHANGED")</f>
        <v>OK</v>
      </c>
      <c r="E83" s="1"/>
      <c r="F83" s="1">
        <v>36</v>
      </c>
      <c r="G83" s="1">
        <f>SUMIF(Screening!$B$2:$B$236,F83,$H$48:$H$282)</f>
        <v>1</v>
      </c>
      <c r="H83" s="1">
        <f>IF(ISNUMBER(Screening!D37),1,0)</f>
        <v>1</v>
      </c>
    </row>
    <row r="84" spans="1:8" ht="23.1" customHeight="1">
      <c r="A84" s="1">
        <v>37</v>
      </c>
      <c r="B84" s="1" t="str">
        <f>IF(AND(LEN(Screening!B38)=0,LEN(Screening!D38)=0),"",IF(LEN(Screening!B38)=0,"MISSING",IF(OR(NOT(ISNUMBER(Screening!B38)),COUNTIF($F$48:$F$282,Screening!B38)&lt;&gt;1),"INVALID",IF(COUNTIF(Screening!$B$2:$B$236,Screening!B38)&gt;1,"DUPLICATE","OK"))))</f>
        <v>OK</v>
      </c>
      <c r="C84" s="1" t="str">
        <f>IF(AND(LEN(Screening!B38)=0,LEN(Screening!D38)=0),"",IF(AND(B84="OK",ISNUMBER(Screening!D38),Screening!C38="yes",Screening!F38&lt;&gt;"",COUNTIF(Sessions!$A$2:$A$21,Screening!I38)=1,Screening!E38&lt;&gt;"",Screening!G38&lt;&gt;"",Screening!H38=$B$16),"OK","REVIEW"))</f>
        <v>OK</v>
      </c>
      <c r="D84" s="1" t="str">
        <f>IF(A84=Screening!A38,"OK","CHANGED")</f>
        <v>OK</v>
      </c>
      <c r="E84" s="1"/>
      <c r="F84" s="1">
        <v>37</v>
      </c>
      <c r="G84" s="1">
        <f>SUMIF(Screening!$B$2:$B$236,F84,$H$48:$H$282)</f>
        <v>1</v>
      </c>
      <c r="H84" s="1">
        <f>IF(ISNUMBER(Screening!D38),1,0)</f>
        <v>1</v>
      </c>
    </row>
    <row r="85" spans="1:8" ht="23.1" customHeight="1">
      <c r="A85" s="1">
        <v>38</v>
      </c>
      <c r="B85" s="1" t="str">
        <f>IF(AND(LEN(Screening!B39)=0,LEN(Screening!D39)=0),"",IF(LEN(Screening!B39)=0,"MISSING",IF(OR(NOT(ISNUMBER(Screening!B39)),COUNTIF($F$48:$F$282,Screening!B39)&lt;&gt;1),"INVALID",IF(COUNTIF(Screening!$B$2:$B$236,Screening!B39)&gt;1,"DUPLICATE","OK"))))</f>
        <v>OK</v>
      </c>
      <c r="C85" s="1" t="str">
        <f>IF(AND(LEN(Screening!B39)=0,LEN(Screening!D39)=0),"",IF(AND(B85="OK",ISNUMBER(Screening!D39),Screening!C39="yes",Screening!F39&lt;&gt;"",COUNTIF(Sessions!$A$2:$A$21,Screening!I39)=1,Screening!E39&lt;&gt;"",Screening!G39&lt;&gt;"",Screening!H39=$B$16),"OK","REVIEW"))</f>
        <v>OK</v>
      </c>
      <c r="D85" s="1" t="str">
        <f>IF(A85=Screening!A39,"OK","CHANGED")</f>
        <v>OK</v>
      </c>
      <c r="E85" s="1"/>
      <c r="F85" s="1">
        <v>38</v>
      </c>
      <c r="G85" s="1">
        <f>SUMIF(Screening!$B$2:$B$236,F85,$H$48:$H$282)</f>
        <v>1</v>
      </c>
      <c r="H85" s="1">
        <f>IF(ISNUMBER(Screening!D39),1,0)</f>
        <v>1</v>
      </c>
    </row>
    <row r="86" spans="1:8" ht="23.1" customHeight="1">
      <c r="A86" s="1">
        <v>39</v>
      </c>
      <c r="B86" s="1" t="str">
        <f>IF(AND(LEN(Screening!B40)=0,LEN(Screening!D40)=0),"",IF(LEN(Screening!B40)=0,"MISSING",IF(OR(NOT(ISNUMBER(Screening!B40)),COUNTIF($F$48:$F$282,Screening!B40)&lt;&gt;1),"INVALID",IF(COUNTIF(Screening!$B$2:$B$236,Screening!B40)&gt;1,"DUPLICATE","OK"))))</f>
        <v>OK</v>
      </c>
      <c r="C86" s="1" t="str">
        <f>IF(AND(LEN(Screening!B40)=0,LEN(Screening!D40)=0),"",IF(AND(B86="OK",ISNUMBER(Screening!D40),Screening!C40="yes",Screening!F40&lt;&gt;"",COUNTIF(Sessions!$A$2:$A$21,Screening!I40)=1,Screening!E40&lt;&gt;"",Screening!G40&lt;&gt;"",Screening!H40=$B$16),"OK","REVIEW"))</f>
        <v>OK</v>
      </c>
      <c r="D86" s="1" t="str">
        <f>IF(A86=Screening!A40,"OK","CHANGED")</f>
        <v>OK</v>
      </c>
      <c r="E86" s="1"/>
      <c r="F86" s="1">
        <v>39</v>
      </c>
      <c r="G86" s="1">
        <f>SUMIF(Screening!$B$2:$B$236,F86,$H$48:$H$282)</f>
        <v>1</v>
      </c>
      <c r="H86" s="1">
        <f>IF(ISNUMBER(Screening!D40),1,0)</f>
        <v>1</v>
      </c>
    </row>
    <row r="87" spans="1:8" ht="23.1" customHeight="1">
      <c r="A87" s="1">
        <v>40</v>
      </c>
      <c r="B87" s="1" t="str">
        <f>IF(AND(LEN(Screening!B41)=0,LEN(Screening!D41)=0),"",IF(LEN(Screening!B41)=0,"MISSING",IF(OR(NOT(ISNUMBER(Screening!B41)),COUNTIF($F$48:$F$282,Screening!B41)&lt;&gt;1),"INVALID",IF(COUNTIF(Screening!$B$2:$B$236,Screening!B41)&gt;1,"DUPLICATE","OK"))))</f>
        <v>OK</v>
      </c>
      <c r="C87" s="1" t="str">
        <f>IF(AND(LEN(Screening!B41)=0,LEN(Screening!D41)=0),"",IF(AND(B87="OK",ISNUMBER(Screening!D41),Screening!C41="yes",Screening!F41&lt;&gt;"",COUNTIF(Sessions!$A$2:$A$21,Screening!I41)=1,Screening!E41&lt;&gt;"",Screening!G41&lt;&gt;"",Screening!H41=$B$16),"OK","REVIEW"))</f>
        <v>OK</v>
      </c>
      <c r="D87" s="1" t="str">
        <f>IF(A87=Screening!A41,"OK","CHANGED")</f>
        <v>OK</v>
      </c>
      <c r="E87" s="1"/>
      <c r="F87" s="1">
        <v>40</v>
      </c>
      <c r="G87" s="1">
        <f>SUMIF(Screening!$B$2:$B$236,F87,$H$48:$H$282)</f>
        <v>1</v>
      </c>
      <c r="H87" s="1">
        <f>IF(ISNUMBER(Screening!D41),1,0)</f>
        <v>1</v>
      </c>
    </row>
    <row r="88" spans="1:8" ht="23.1" customHeight="1">
      <c r="A88" s="1">
        <v>41</v>
      </c>
      <c r="B88" s="1" t="str">
        <f>IF(AND(LEN(Screening!B42)=0,LEN(Screening!D42)=0),"",IF(LEN(Screening!B42)=0,"MISSING",IF(OR(NOT(ISNUMBER(Screening!B42)),COUNTIF($F$48:$F$282,Screening!B42)&lt;&gt;1),"INVALID",IF(COUNTIF(Screening!$B$2:$B$236,Screening!B42)&gt;1,"DUPLICATE","OK"))))</f>
        <v>OK</v>
      </c>
      <c r="C88" s="1" t="str">
        <f>IF(AND(LEN(Screening!B42)=0,LEN(Screening!D42)=0),"",IF(AND(B88="OK",ISNUMBER(Screening!D42),Screening!C42="yes",Screening!F42&lt;&gt;"",COUNTIF(Sessions!$A$2:$A$21,Screening!I42)=1,Screening!E42&lt;&gt;"",Screening!G42&lt;&gt;"",Screening!H42=$B$16),"OK","REVIEW"))</f>
        <v>OK</v>
      </c>
      <c r="D88" s="1" t="str">
        <f>IF(A88=Screening!A42,"OK","CHANGED")</f>
        <v>OK</v>
      </c>
      <c r="E88" s="1"/>
      <c r="F88" s="1">
        <v>41</v>
      </c>
      <c r="G88" s="1">
        <f>SUMIF(Screening!$B$2:$B$236,F88,$H$48:$H$282)</f>
        <v>1</v>
      </c>
      <c r="H88" s="1">
        <f>IF(ISNUMBER(Screening!D42),1,0)</f>
        <v>1</v>
      </c>
    </row>
    <row r="89" spans="1:8" ht="23.1" customHeight="1">
      <c r="A89" s="1">
        <v>42</v>
      </c>
      <c r="B89" s="1" t="str">
        <f>IF(AND(LEN(Screening!B43)=0,LEN(Screening!D43)=0),"",IF(LEN(Screening!B43)=0,"MISSING",IF(OR(NOT(ISNUMBER(Screening!B43)),COUNTIF($F$48:$F$282,Screening!B43)&lt;&gt;1),"INVALID",IF(COUNTIF(Screening!$B$2:$B$236,Screening!B43)&gt;1,"DUPLICATE","OK"))))</f>
        <v>OK</v>
      </c>
      <c r="C89" s="1" t="str">
        <f>IF(AND(LEN(Screening!B43)=0,LEN(Screening!D43)=0),"",IF(AND(B89="OK",ISNUMBER(Screening!D43),Screening!C43="yes",Screening!F43&lt;&gt;"",COUNTIF(Sessions!$A$2:$A$21,Screening!I43)=1,Screening!E43&lt;&gt;"",Screening!G43&lt;&gt;"",Screening!H43=$B$16),"OK","REVIEW"))</f>
        <v>OK</v>
      </c>
      <c r="D89" s="1" t="str">
        <f>IF(A89=Screening!A43,"OK","CHANGED")</f>
        <v>OK</v>
      </c>
      <c r="E89" s="1"/>
      <c r="F89" s="1">
        <v>42</v>
      </c>
      <c r="G89" s="1">
        <f>SUMIF(Screening!$B$2:$B$236,F89,$H$48:$H$282)</f>
        <v>1</v>
      </c>
      <c r="H89" s="1">
        <f>IF(ISNUMBER(Screening!D43),1,0)</f>
        <v>1</v>
      </c>
    </row>
    <row r="90" spans="1:8" ht="23.1" customHeight="1">
      <c r="A90" s="1">
        <v>43</v>
      </c>
      <c r="B90" s="1" t="str">
        <f>IF(AND(LEN(Screening!B44)=0,LEN(Screening!D44)=0),"",IF(LEN(Screening!B44)=0,"MISSING",IF(OR(NOT(ISNUMBER(Screening!B44)),COUNTIF($F$48:$F$282,Screening!B44)&lt;&gt;1),"INVALID",IF(COUNTIF(Screening!$B$2:$B$236,Screening!B44)&gt;1,"DUPLICATE","OK"))))</f>
        <v>OK</v>
      </c>
      <c r="C90" s="1" t="str">
        <f>IF(AND(LEN(Screening!B44)=0,LEN(Screening!D44)=0),"",IF(AND(B90="OK",ISNUMBER(Screening!D44),Screening!C44="yes",Screening!F44&lt;&gt;"",COUNTIF(Sessions!$A$2:$A$21,Screening!I44)=1,Screening!E44&lt;&gt;"",Screening!G44&lt;&gt;"",Screening!H44=$B$16),"OK","REVIEW"))</f>
        <v>OK</v>
      </c>
      <c r="D90" s="1" t="str">
        <f>IF(A90=Screening!A44,"OK","CHANGED")</f>
        <v>OK</v>
      </c>
      <c r="E90" s="1"/>
      <c r="F90" s="1">
        <v>43</v>
      </c>
      <c r="G90" s="1">
        <f>SUMIF(Screening!$B$2:$B$236,F90,$H$48:$H$282)</f>
        <v>1</v>
      </c>
      <c r="H90" s="1">
        <f>IF(ISNUMBER(Screening!D44),1,0)</f>
        <v>1</v>
      </c>
    </row>
    <row r="91" spans="1:8" ht="23.1" customHeight="1">
      <c r="A91" s="1">
        <v>44</v>
      </c>
      <c r="B91" s="1" t="str">
        <f>IF(AND(LEN(Screening!B45)=0,LEN(Screening!D45)=0),"",IF(LEN(Screening!B45)=0,"MISSING",IF(OR(NOT(ISNUMBER(Screening!B45)),COUNTIF($F$48:$F$282,Screening!B45)&lt;&gt;1),"INVALID",IF(COUNTIF(Screening!$B$2:$B$236,Screening!B45)&gt;1,"DUPLICATE","OK"))))</f>
        <v>OK</v>
      </c>
      <c r="C91" s="1" t="str">
        <f>IF(AND(LEN(Screening!B45)=0,LEN(Screening!D45)=0),"",IF(AND(B91="OK",ISNUMBER(Screening!D45),Screening!C45="yes",Screening!F45&lt;&gt;"",COUNTIF(Sessions!$A$2:$A$21,Screening!I45)=1,Screening!E45&lt;&gt;"",Screening!G45&lt;&gt;"",Screening!H45=$B$16),"OK","REVIEW"))</f>
        <v>OK</v>
      </c>
      <c r="D91" s="1" t="str">
        <f>IF(A91=Screening!A45,"OK","CHANGED")</f>
        <v>OK</v>
      </c>
      <c r="E91" s="1"/>
      <c r="F91" s="1">
        <v>44</v>
      </c>
      <c r="G91" s="1">
        <f>SUMIF(Screening!$B$2:$B$236,F91,$H$48:$H$282)</f>
        <v>1</v>
      </c>
      <c r="H91" s="1">
        <f>IF(ISNUMBER(Screening!D45),1,0)</f>
        <v>1</v>
      </c>
    </row>
    <row r="92" spans="1:8" ht="23.1" customHeight="1">
      <c r="A92" s="1">
        <v>45</v>
      </c>
      <c r="B92" s="1" t="str">
        <f>IF(AND(LEN(Screening!B46)=0,LEN(Screening!D46)=0),"",IF(LEN(Screening!B46)=0,"MISSING",IF(OR(NOT(ISNUMBER(Screening!B46)),COUNTIF($F$48:$F$282,Screening!B46)&lt;&gt;1),"INVALID",IF(COUNTIF(Screening!$B$2:$B$236,Screening!B46)&gt;1,"DUPLICATE","OK"))))</f>
        <v>OK</v>
      </c>
      <c r="C92" s="1" t="str">
        <f>IF(AND(LEN(Screening!B46)=0,LEN(Screening!D46)=0),"",IF(AND(B92="OK",ISNUMBER(Screening!D46),Screening!C46="yes",Screening!F46&lt;&gt;"",COUNTIF(Sessions!$A$2:$A$21,Screening!I46)=1,Screening!E46&lt;&gt;"",Screening!G46&lt;&gt;"",Screening!H46=$B$16),"OK","REVIEW"))</f>
        <v>OK</v>
      </c>
      <c r="D92" s="1" t="str">
        <f>IF(A92=Screening!A46,"OK","CHANGED")</f>
        <v>OK</v>
      </c>
      <c r="E92" s="1"/>
      <c r="F92" s="1">
        <v>45</v>
      </c>
      <c r="G92" s="1">
        <f>SUMIF(Screening!$B$2:$B$236,F92,$H$48:$H$282)</f>
        <v>1</v>
      </c>
      <c r="H92" s="1">
        <f>IF(ISNUMBER(Screening!D46),1,0)</f>
        <v>1</v>
      </c>
    </row>
    <row r="93" spans="1:8" ht="23.1" customHeight="1">
      <c r="A93" s="1">
        <v>46</v>
      </c>
      <c r="B93" s="1" t="str">
        <f>IF(AND(LEN(Screening!B47)=0,LEN(Screening!D47)=0),"",IF(LEN(Screening!B47)=0,"MISSING",IF(OR(NOT(ISNUMBER(Screening!B47)),COUNTIF($F$48:$F$282,Screening!B47)&lt;&gt;1),"INVALID",IF(COUNTIF(Screening!$B$2:$B$236,Screening!B47)&gt;1,"DUPLICATE","OK"))))</f>
        <v>OK</v>
      </c>
      <c r="C93" s="1" t="str">
        <f>IF(AND(LEN(Screening!B47)=0,LEN(Screening!D47)=0),"",IF(AND(B93="OK",ISNUMBER(Screening!D47),Screening!C47="yes",Screening!F47&lt;&gt;"",COUNTIF(Sessions!$A$2:$A$21,Screening!I47)=1,Screening!E47&lt;&gt;"",Screening!G47&lt;&gt;"",Screening!H47=$B$16),"OK","REVIEW"))</f>
        <v>OK</v>
      </c>
      <c r="D93" s="1" t="str">
        <f>IF(A93=Screening!A47,"OK","CHANGED")</f>
        <v>OK</v>
      </c>
      <c r="E93" s="1"/>
      <c r="F93" s="1">
        <v>46</v>
      </c>
      <c r="G93" s="1">
        <f>SUMIF(Screening!$B$2:$B$236,F93,$H$48:$H$282)</f>
        <v>1</v>
      </c>
      <c r="H93" s="1">
        <f>IF(ISNUMBER(Screening!D47),1,0)</f>
        <v>1</v>
      </c>
    </row>
    <row r="94" spans="1:8" ht="23.1" customHeight="1">
      <c r="A94" s="1">
        <v>47</v>
      </c>
      <c r="B94" s="1" t="str">
        <f>IF(AND(LEN(Screening!B48)=0,LEN(Screening!D48)=0),"",IF(LEN(Screening!B48)=0,"MISSING",IF(OR(NOT(ISNUMBER(Screening!B48)),COUNTIF($F$48:$F$282,Screening!B48)&lt;&gt;1),"INVALID",IF(COUNTIF(Screening!$B$2:$B$236,Screening!B48)&gt;1,"DUPLICATE","OK"))))</f>
        <v>OK</v>
      </c>
      <c r="C94" s="1" t="str">
        <f>IF(AND(LEN(Screening!B48)=0,LEN(Screening!D48)=0),"",IF(AND(B94="OK",ISNUMBER(Screening!D48),Screening!C48="yes",Screening!F48&lt;&gt;"",COUNTIF(Sessions!$A$2:$A$21,Screening!I48)=1,Screening!E48&lt;&gt;"",Screening!G48&lt;&gt;"",Screening!H48=$B$16),"OK","REVIEW"))</f>
        <v>OK</v>
      </c>
      <c r="D94" s="1" t="str">
        <f>IF(A94=Screening!A48,"OK","CHANGED")</f>
        <v>OK</v>
      </c>
      <c r="E94" s="1"/>
      <c r="F94" s="1">
        <v>47</v>
      </c>
      <c r="G94" s="1">
        <f>SUMIF(Screening!$B$2:$B$236,F94,$H$48:$H$282)</f>
        <v>1</v>
      </c>
      <c r="H94" s="1">
        <f>IF(ISNUMBER(Screening!D48),1,0)</f>
        <v>1</v>
      </c>
    </row>
    <row r="95" spans="1:8" ht="23.1" customHeight="1">
      <c r="A95" s="1">
        <v>48</v>
      </c>
      <c r="B95" s="1" t="str">
        <f>IF(AND(LEN(Screening!B49)=0,LEN(Screening!D49)=0),"",IF(LEN(Screening!B49)=0,"MISSING",IF(OR(NOT(ISNUMBER(Screening!B49)),COUNTIF($F$48:$F$282,Screening!B49)&lt;&gt;1),"INVALID",IF(COUNTIF(Screening!$B$2:$B$236,Screening!B49)&gt;1,"DUPLICATE","OK"))))</f>
        <v>OK</v>
      </c>
      <c r="C95" s="1" t="str">
        <f>IF(AND(LEN(Screening!B49)=0,LEN(Screening!D49)=0),"",IF(AND(B95="OK",ISNUMBER(Screening!D49),Screening!C49="yes",Screening!F49&lt;&gt;"",COUNTIF(Sessions!$A$2:$A$21,Screening!I49)=1,Screening!E49&lt;&gt;"",Screening!G49&lt;&gt;"",Screening!H49=$B$16),"OK","REVIEW"))</f>
        <v>OK</v>
      </c>
      <c r="D95" s="1" t="str">
        <f>IF(A95=Screening!A49,"OK","CHANGED")</f>
        <v>OK</v>
      </c>
      <c r="E95" s="1"/>
      <c r="F95" s="1">
        <v>48</v>
      </c>
      <c r="G95" s="1">
        <f>SUMIF(Screening!$B$2:$B$236,F95,$H$48:$H$282)</f>
        <v>1</v>
      </c>
      <c r="H95" s="1">
        <f>IF(ISNUMBER(Screening!D49),1,0)</f>
        <v>1</v>
      </c>
    </row>
    <row r="96" spans="1:8" ht="23.1" customHeight="1">
      <c r="A96" s="1">
        <v>49</v>
      </c>
      <c r="B96" s="1" t="str">
        <f>IF(AND(LEN(Screening!B50)=0,LEN(Screening!D50)=0),"",IF(LEN(Screening!B50)=0,"MISSING",IF(OR(NOT(ISNUMBER(Screening!B50)),COUNTIF($F$48:$F$282,Screening!B50)&lt;&gt;1),"INVALID",IF(COUNTIF(Screening!$B$2:$B$236,Screening!B50)&gt;1,"DUPLICATE","OK"))))</f>
        <v>OK</v>
      </c>
      <c r="C96" s="1" t="str">
        <f>IF(AND(LEN(Screening!B50)=0,LEN(Screening!D50)=0),"",IF(AND(B96="OK",ISNUMBER(Screening!D50),Screening!C50="yes",Screening!F50&lt;&gt;"",COUNTIF(Sessions!$A$2:$A$21,Screening!I50)=1,Screening!E50&lt;&gt;"",Screening!G50&lt;&gt;"",Screening!H50=$B$16),"OK","REVIEW"))</f>
        <v>OK</v>
      </c>
      <c r="D96" s="1" t="str">
        <f>IF(A96=Screening!A50,"OK","CHANGED")</f>
        <v>OK</v>
      </c>
      <c r="E96" s="1"/>
      <c r="F96" s="1">
        <v>49</v>
      </c>
      <c r="G96" s="1">
        <f>SUMIF(Screening!$B$2:$B$236,F96,$H$48:$H$282)</f>
        <v>1</v>
      </c>
      <c r="H96" s="1">
        <f>IF(ISNUMBER(Screening!D50),1,0)</f>
        <v>1</v>
      </c>
    </row>
    <row r="97" spans="1:8" ht="23.1" customHeight="1">
      <c r="A97" s="1">
        <v>50</v>
      </c>
      <c r="B97" s="1" t="str">
        <f>IF(AND(LEN(Screening!B51)=0,LEN(Screening!D51)=0),"",IF(LEN(Screening!B51)=0,"MISSING",IF(OR(NOT(ISNUMBER(Screening!B51)),COUNTIF($F$48:$F$282,Screening!B51)&lt;&gt;1),"INVALID",IF(COUNTIF(Screening!$B$2:$B$236,Screening!B51)&gt;1,"DUPLICATE","OK"))))</f>
        <v>OK</v>
      </c>
      <c r="C97" s="1" t="str">
        <f>IF(AND(LEN(Screening!B51)=0,LEN(Screening!D51)=0),"",IF(AND(B97="OK",ISNUMBER(Screening!D51),Screening!C51="yes",Screening!F51&lt;&gt;"",COUNTIF(Sessions!$A$2:$A$21,Screening!I51)=1,Screening!E51&lt;&gt;"",Screening!G51&lt;&gt;"",Screening!H51=$B$16),"OK","REVIEW"))</f>
        <v>OK</v>
      </c>
      <c r="D97" s="1" t="str">
        <f>IF(A97=Screening!A51,"OK","CHANGED")</f>
        <v>OK</v>
      </c>
      <c r="E97" s="1"/>
      <c r="F97" s="1">
        <v>50</v>
      </c>
      <c r="G97" s="1">
        <f>SUMIF(Screening!$B$2:$B$236,F97,$H$48:$H$282)</f>
        <v>1</v>
      </c>
      <c r="H97" s="1">
        <f>IF(ISNUMBER(Screening!D51),1,0)</f>
        <v>1</v>
      </c>
    </row>
    <row r="98" spans="1:8" ht="23.1" customHeight="1">
      <c r="A98" s="1">
        <v>51</v>
      </c>
      <c r="B98" s="1" t="str">
        <f>IF(AND(LEN(Screening!B52)=0,LEN(Screening!D52)=0),"",IF(LEN(Screening!B52)=0,"MISSING",IF(OR(NOT(ISNUMBER(Screening!B52)),COUNTIF($F$48:$F$282,Screening!B52)&lt;&gt;1),"INVALID",IF(COUNTIF(Screening!$B$2:$B$236,Screening!B52)&gt;1,"DUPLICATE","OK"))))</f>
        <v>OK</v>
      </c>
      <c r="C98" s="1" t="str">
        <f>IF(AND(LEN(Screening!B52)=0,LEN(Screening!D52)=0),"",IF(AND(B98="OK",ISNUMBER(Screening!D52),Screening!C52="yes",Screening!F52&lt;&gt;"",COUNTIF(Sessions!$A$2:$A$21,Screening!I52)=1,Screening!E52&lt;&gt;"",Screening!G52&lt;&gt;"",Screening!H52=$B$16),"OK","REVIEW"))</f>
        <v>OK</v>
      </c>
      <c r="D98" s="1" t="str">
        <f>IF(A98=Screening!A52,"OK","CHANGED")</f>
        <v>OK</v>
      </c>
      <c r="E98" s="1"/>
      <c r="F98" s="1">
        <v>51</v>
      </c>
      <c r="G98" s="1">
        <f>SUMIF(Screening!$B$2:$B$236,F98,$H$48:$H$282)</f>
        <v>1</v>
      </c>
      <c r="H98" s="1">
        <f>IF(ISNUMBER(Screening!D52),1,0)</f>
        <v>1</v>
      </c>
    </row>
    <row r="99" spans="1:8" ht="23.1" customHeight="1">
      <c r="A99" s="1">
        <v>52</v>
      </c>
      <c r="B99" s="1" t="str">
        <f>IF(AND(LEN(Screening!B53)=0,LEN(Screening!D53)=0),"",IF(LEN(Screening!B53)=0,"MISSING",IF(OR(NOT(ISNUMBER(Screening!B53)),COUNTIF($F$48:$F$282,Screening!B53)&lt;&gt;1),"INVALID",IF(COUNTIF(Screening!$B$2:$B$236,Screening!B53)&gt;1,"DUPLICATE","OK"))))</f>
        <v>OK</v>
      </c>
      <c r="C99" s="1" t="str">
        <f>IF(AND(LEN(Screening!B53)=0,LEN(Screening!D53)=0),"",IF(AND(B99="OK",ISNUMBER(Screening!D53),Screening!C53="yes",Screening!F53&lt;&gt;"",COUNTIF(Sessions!$A$2:$A$21,Screening!I53)=1,Screening!E53&lt;&gt;"",Screening!G53&lt;&gt;"",Screening!H53=$B$16),"OK","REVIEW"))</f>
        <v>OK</v>
      </c>
      <c r="D99" s="1" t="str">
        <f>IF(A99=Screening!A53,"OK","CHANGED")</f>
        <v>OK</v>
      </c>
      <c r="E99" s="1"/>
      <c r="F99" s="1">
        <v>52</v>
      </c>
      <c r="G99" s="1">
        <f>SUMIF(Screening!$B$2:$B$236,F99,$H$48:$H$282)</f>
        <v>1</v>
      </c>
      <c r="H99" s="1">
        <f>IF(ISNUMBER(Screening!D53),1,0)</f>
        <v>1</v>
      </c>
    </row>
    <row r="100" spans="1:8" ht="23.1" customHeight="1">
      <c r="A100" s="1">
        <v>53</v>
      </c>
      <c r="B100" s="1" t="str">
        <f>IF(AND(LEN(Screening!B54)=0,LEN(Screening!D54)=0),"",IF(LEN(Screening!B54)=0,"MISSING",IF(OR(NOT(ISNUMBER(Screening!B54)),COUNTIF($F$48:$F$282,Screening!B54)&lt;&gt;1),"INVALID",IF(COUNTIF(Screening!$B$2:$B$236,Screening!B54)&gt;1,"DUPLICATE","OK"))))</f>
        <v>OK</v>
      </c>
      <c r="C100" s="1" t="str">
        <f>IF(AND(LEN(Screening!B54)=0,LEN(Screening!D54)=0),"",IF(AND(B100="OK",ISNUMBER(Screening!D54),Screening!C54="yes",Screening!F54&lt;&gt;"",COUNTIF(Sessions!$A$2:$A$21,Screening!I54)=1,Screening!E54&lt;&gt;"",Screening!G54&lt;&gt;"",Screening!H54=$B$16),"OK","REVIEW"))</f>
        <v>OK</v>
      </c>
      <c r="D100" s="1" t="str">
        <f>IF(A100=Screening!A54,"OK","CHANGED")</f>
        <v>OK</v>
      </c>
      <c r="E100" s="1"/>
      <c r="F100" s="1">
        <v>53</v>
      </c>
      <c r="G100" s="1">
        <f>SUMIF(Screening!$B$2:$B$236,F100,$H$48:$H$282)</f>
        <v>1</v>
      </c>
      <c r="H100" s="1">
        <f>IF(ISNUMBER(Screening!D54),1,0)</f>
        <v>1</v>
      </c>
    </row>
    <row r="101" spans="1:8" ht="23.1" customHeight="1">
      <c r="A101" s="1">
        <v>54</v>
      </c>
      <c r="B101" s="1" t="str">
        <f>IF(AND(LEN(Screening!B55)=0,LEN(Screening!D55)=0),"",IF(LEN(Screening!B55)=0,"MISSING",IF(OR(NOT(ISNUMBER(Screening!B55)),COUNTIF($F$48:$F$282,Screening!B55)&lt;&gt;1),"INVALID",IF(COUNTIF(Screening!$B$2:$B$236,Screening!B55)&gt;1,"DUPLICATE","OK"))))</f>
        <v>OK</v>
      </c>
      <c r="C101" s="1" t="str">
        <f>IF(AND(LEN(Screening!B55)=0,LEN(Screening!D55)=0),"",IF(AND(B101="OK",ISNUMBER(Screening!D55),Screening!C55="yes",Screening!F55&lt;&gt;"",COUNTIF(Sessions!$A$2:$A$21,Screening!I55)=1,Screening!E55&lt;&gt;"",Screening!G55&lt;&gt;"",Screening!H55=$B$16),"OK","REVIEW"))</f>
        <v>OK</v>
      </c>
      <c r="D101" s="1" t="str">
        <f>IF(A101=Screening!A55,"OK","CHANGED")</f>
        <v>OK</v>
      </c>
      <c r="E101" s="1"/>
      <c r="F101" s="1">
        <v>54</v>
      </c>
      <c r="G101" s="1">
        <f>SUMIF(Screening!$B$2:$B$236,F101,$H$48:$H$282)</f>
        <v>1</v>
      </c>
      <c r="H101" s="1">
        <f>IF(ISNUMBER(Screening!D55),1,0)</f>
        <v>1</v>
      </c>
    </row>
    <row r="102" spans="1:8" ht="23.1" customHeight="1">
      <c r="A102" s="1">
        <v>55</v>
      </c>
      <c r="B102" s="1" t="str">
        <f>IF(AND(LEN(Screening!B56)=0,LEN(Screening!D56)=0),"",IF(LEN(Screening!B56)=0,"MISSING",IF(OR(NOT(ISNUMBER(Screening!B56)),COUNTIF($F$48:$F$282,Screening!B56)&lt;&gt;1),"INVALID",IF(COUNTIF(Screening!$B$2:$B$236,Screening!B56)&gt;1,"DUPLICATE","OK"))))</f>
        <v>OK</v>
      </c>
      <c r="C102" s="1" t="str">
        <f>IF(AND(LEN(Screening!B56)=0,LEN(Screening!D56)=0),"",IF(AND(B102="OK",ISNUMBER(Screening!D56),Screening!C56="yes",Screening!F56&lt;&gt;"",COUNTIF(Sessions!$A$2:$A$21,Screening!I56)=1,Screening!E56&lt;&gt;"",Screening!G56&lt;&gt;"",Screening!H56=$B$16),"OK","REVIEW"))</f>
        <v>OK</v>
      </c>
      <c r="D102" s="1" t="str">
        <f>IF(A102=Screening!A56,"OK","CHANGED")</f>
        <v>OK</v>
      </c>
      <c r="E102" s="1"/>
      <c r="F102" s="1">
        <v>55</v>
      </c>
      <c r="G102" s="1">
        <f>SUMIF(Screening!$B$2:$B$236,F102,$H$48:$H$282)</f>
        <v>1</v>
      </c>
      <c r="H102" s="1">
        <f>IF(ISNUMBER(Screening!D56),1,0)</f>
        <v>1</v>
      </c>
    </row>
    <row r="103" spans="1:8" ht="23.1" customHeight="1">
      <c r="A103" s="1">
        <v>56</v>
      </c>
      <c r="B103" s="1" t="str">
        <f>IF(AND(LEN(Screening!B57)=0,LEN(Screening!D57)=0),"",IF(LEN(Screening!B57)=0,"MISSING",IF(OR(NOT(ISNUMBER(Screening!B57)),COUNTIF($F$48:$F$282,Screening!B57)&lt;&gt;1),"INVALID",IF(COUNTIF(Screening!$B$2:$B$236,Screening!B57)&gt;1,"DUPLICATE","OK"))))</f>
        <v>OK</v>
      </c>
      <c r="C103" s="1" t="str">
        <f>IF(AND(LEN(Screening!B57)=0,LEN(Screening!D57)=0),"",IF(AND(B103="OK",ISNUMBER(Screening!D57),Screening!C57="yes",Screening!F57&lt;&gt;"",COUNTIF(Sessions!$A$2:$A$21,Screening!I57)=1,Screening!E57&lt;&gt;"",Screening!G57&lt;&gt;"",Screening!H57=$B$16),"OK","REVIEW"))</f>
        <v>OK</v>
      </c>
      <c r="D103" s="1" t="str">
        <f>IF(A103=Screening!A57,"OK","CHANGED")</f>
        <v>OK</v>
      </c>
      <c r="E103" s="1"/>
      <c r="F103" s="1">
        <v>56</v>
      </c>
      <c r="G103" s="1">
        <f>SUMIF(Screening!$B$2:$B$236,F103,$H$48:$H$282)</f>
        <v>1</v>
      </c>
      <c r="H103" s="1">
        <f>IF(ISNUMBER(Screening!D57),1,0)</f>
        <v>1</v>
      </c>
    </row>
    <row r="104" spans="1:8" ht="23.1" customHeight="1">
      <c r="A104" s="1">
        <v>57</v>
      </c>
      <c r="B104" s="1" t="str">
        <f>IF(AND(LEN(Screening!B58)=0,LEN(Screening!D58)=0),"",IF(LEN(Screening!B58)=0,"MISSING",IF(OR(NOT(ISNUMBER(Screening!B58)),COUNTIF($F$48:$F$282,Screening!B58)&lt;&gt;1),"INVALID",IF(COUNTIF(Screening!$B$2:$B$236,Screening!B58)&gt;1,"DUPLICATE","OK"))))</f>
        <v>OK</v>
      </c>
      <c r="C104" s="1" t="str">
        <f>IF(AND(LEN(Screening!B58)=0,LEN(Screening!D58)=0),"",IF(AND(B104="OK",ISNUMBER(Screening!D58),Screening!C58="yes",Screening!F58&lt;&gt;"",COUNTIF(Sessions!$A$2:$A$21,Screening!I58)=1,Screening!E58&lt;&gt;"",Screening!G58&lt;&gt;"",Screening!H58=$B$16),"OK","REVIEW"))</f>
        <v>OK</v>
      </c>
      <c r="D104" s="1" t="str">
        <f>IF(A104=Screening!A58,"OK","CHANGED")</f>
        <v>OK</v>
      </c>
      <c r="E104" s="1"/>
      <c r="F104" s="1">
        <v>57</v>
      </c>
      <c r="G104" s="1">
        <f>SUMIF(Screening!$B$2:$B$236,F104,$H$48:$H$282)</f>
        <v>1</v>
      </c>
      <c r="H104" s="1">
        <f>IF(ISNUMBER(Screening!D58),1,0)</f>
        <v>1</v>
      </c>
    </row>
    <row r="105" spans="1:8" ht="23.1" customHeight="1">
      <c r="A105" s="1">
        <v>58</v>
      </c>
      <c r="B105" s="1" t="str">
        <f>IF(AND(LEN(Screening!B59)=0,LEN(Screening!D59)=0),"",IF(LEN(Screening!B59)=0,"MISSING",IF(OR(NOT(ISNUMBER(Screening!B59)),COUNTIF($F$48:$F$282,Screening!B59)&lt;&gt;1),"INVALID",IF(COUNTIF(Screening!$B$2:$B$236,Screening!B59)&gt;1,"DUPLICATE","OK"))))</f>
        <v>OK</v>
      </c>
      <c r="C105" s="1" t="str">
        <f>IF(AND(LEN(Screening!B59)=0,LEN(Screening!D59)=0),"",IF(AND(B105="OK",ISNUMBER(Screening!D59),Screening!C59="yes",Screening!F59&lt;&gt;"",COUNTIF(Sessions!$A$2:$A$21,Screening!I59)=1,Screening!E59&lt;&gt;"",Screening!G59&lt;&gt;"",Screening!H59=$B$16),"OK","REVIEW"))</f>
        <v>OK</v>
      </c>
      <c r="D105" s="1" t="str">
        <f>IF(A105=Screening!A59,"OK","CHANGED")</f>
        <v>OK</v>
      </c>
      <c r="E105" s="1"/>
      <c r="F105" s="1">
        <v>58</v>
      </c>
      <c r="G105" s="1">
        <f>SUMIF(Screening!$B$2:$B$236,F105,$H$48:$H$282)</f>
        <v>1</v>
      </c>
      <c r="H105" s="1">
        <f>IF(ISNUMBER(Screening!D59),1,0)</f>
        <v>1</v>
      </c>
    </row>
    <row r="106" spans="1:8" ht="23.1" customHeight="1">
      <c r="A106" s="1">
        <v>59</v>
      </c>
      <c r="B106" s="1" t="str">
        <f>IF(AND(LEN(Screening!B60)=0,LEN(Screening!D60)=0),"",IF(LEN(Screening!B60)=0,"MISSING",IF(OR(NOT(ISNUMBER(Screening!B60)),COUNTIF($F$48:$F$282,Screening!B60)&lt;&gt;1),"INVALID",IF(COUNTIF(Screening!$B$2:$B$236,Screening!B60)&gt;1,"DUPLICATE","OK"))))</f>
        <v>OK</v>
      </c>
      <c r="C106" s="1" t="str">
        <f>IF(AND(LEN(Screening!B60)=0,LEN(Screening!D60)=0),"",IF(AND(B106="OK",ISNUMBER(Screening!D60),Screening!C60="yes",Screening!F60&lt;&gt;"",COUNTIF(Sessions!$A$2:$A$21,Screening!I60)=1,Screening!E60&lt;&gt;"",Screening!G60&lt;&gt;"",Screening!H60=$B$16),"OK","REVIEW"))</f>
        <v>OK</v>
      </c>
      <c r="D106" s="1" t="str">
        <f>IF(A106=Screening!A60,"OK","CHANGED")</f>
        <v>OK</v>
      </c>
      <c r="E106" s="1"/>
      <c r="F106" s="1">
        <v>59</v>
      </c>
      <c r="G106" s="1">
        <f>SUMIF(Screening!$B$2:$B$236,F106,$H$48:$H$282)</f>
        <v>1</v>
      </c>
      <c r="H106" s="1">
        <f>IF(ISNUMBER(Screening!D60),1,0)</f>
        <v>1</v>
      </c>
    </row>
    <row r="107" spans="1:8" ht="23.1" customHeight="1">
      <c r="A107" s="1">
        <v>60</v>
      </c>
      <c r="B107" s="1" t="str">
        <f>IF(AND(LEN(Screening!B61)=0,LEN(Screening!D61)=0),"",IF(LEN(Screening!B61)=0,"MISSING",IF(OR(NOT(ISNUMBER(Screening!B61)),COUNTIF($F$48:$F$282,Screening!B61)&lt;&gt;1),"INVALID",IF(COUNTIF(Screening!$B$2:$B$236,Screening!B61)&gt;1,"DUPLICATE","OK"))))</f>
        <v>OK</v>
      </c>
      <c r="C107" s="1" t="str">
        <f>IF(AND(LEN(Screening!B61)=0,LEN(Screening!D61)=0),"",IF(AND(B107="OK",ISNUMBER(Screening!D61),Screening!C61="yes",Screening!F61&lt;&gt;"",COUNTIF(Sessions!$A$2:$A$21,Screening!I61)=1,Screening!E61&lt;&gt;"",Screening!G61&lt;&gt;"",Screening!H61=$B$16),"OK","REVIEW"))</f>
        <v>OK</v>
      </c>
      <c r="D107" s="1" t="str">
        <f>IF(A107=Screening!A61,"OK","CHANGED")</f>
        <v>OK</v>
      </c>
      <c r="E107" s="1"/>
      <c r="F107" s="1">
        <v>60</v>
      </c>
      <c r="G107" s="1">
        <f>SUMIF(Screening!$B$2:$B$236,F107,$H$48:$H$282)</f>
        <v>1</v>
      </c>
      <c r="H107" s="1">
        <f>IF(ISNUMBER(Screening!D61),1,0)</f>
        <v>1</v>
      </c>
    </row>
    <row r="108" spans="1:8" ht="23.1" customHeight="1">
      <c r="A108" s="1">
        <v>61</v>
      </c>
      <c r="B108" s="1" t="str">
        <f>IF(AND(LEN(Screening!B62)=0,LEN(Screening!D62)=0),"",IF(LEN(Screening!B62)=0,"MISSING",IF(OR(NOT(ISNUMBER(Screening!B62)),COUNTIF($F$48:$F$282,Screening!B62)&lt;&gt;1),"INVALID",IF(COUNTIF(Screening!$B$2:$B$236,Screening!B62)&gt;1,"DUPLICATE","OK"))))</f>
        <v>OK</v>
      </c>
      <c r="C108" s="1" t="str">
        <f>IF(AND(LEN(Screening!B62)=0,LEN(Screening!D62)=0),"",IF(AND(B108="OK",ISNUMBER(Screening!D62),Screening!C62="yes",Screening!F62&lt;&gt;"",COUNTIF(Sessions!$A$2:$A$21,Screening!I62)=1,Screening!E62&lt;&gt;"",Screening!G62&lt;&gt;"",Screening!H62=$B$16),"OK","REVIEW"))</f>
        <v>OK</v>
      </c>
      <c r="D108" s="1" t="str">
        <f>IF(A108=Screening!A62,"OK","CHANGED")</f>
        <v>OK</v>
      </c>
      <c r="E108" s="1"/>
      <c r="F108" s="1">
        <v>61</v>
      </c>
      <c r="G108" s="1">
        <f>SUMIF(Screening!$B$2:$B$236,F108,$H$48:$H$282)</f>
        <v>1</v>
      </c>
      <c r="H108" s="1">
        <f>IF(ISNUMBER(Screening!D62),1,0)</f>
        <v>1</v>
      </c>
    </row>
    <row r="109" spans="1:8" ht="23.1" customHeight="1">
      <c r="A109" s="1">
        <v>62</v>
      </c>
      <c r="B109" s="1" t="str">
        <f>IF(AND(LEN(Screening!B63)=0,LEN(Screening!D63)=0),"",IF(LEN(Screening!B63)=0,"MISSING",IF(OR(NOT(ISNUMBER(Screening!B63)),COUNTIF($F$48:$F$282,Screening!B63)&lt;&gt;1),"INVALID",IF(COUNTIF(Screening!$B$2:$B$236,Screening!B63)&gt;1,"DUPLICATE","OK"))))</f>
        <v>OK</v>
      </c>
      <c r="C109" s="1" t="str">
        <f>IF(AND(LEN(Screening!B63)=0,LEN(Screening!D63)=0),"",IF(AND(B109="OK",ISNUMBER(Screening!D63),Screening!C63="yes",Screening!F63&lt;&gt;"",COUNTIF(Sessions!$A$2:$A$21,Screening!I63)=1,Screening!E63&lt;&gt;"",Screening!G63&lt;&gt;"",Screening!H63=$B$16),"OK","REVIEW"))</f>
        <v>OK</v>
      </c>
      <c r="D109" s="1" t="str">
        <f>IF(A109=Screening!A63,"OK","CHANGED")</f>
        <v>OK</v>
      </c>
      <c r="E109" s="1"/>
      <c r="F109" s="1">
        <v>62</v>
      </c>
      <c r="G109" s="1">
        <f>SUMIF(Screening!$B$2:$B$236,F109,$H$48:$H$282)</f>
        <v>1</v>
      </c>
      <c r="H109" s="1">
        <f>IF(ISNUMBER(Screening!D63),1,0)</f>
        <v>1</v>
      </c>
    </row>
    <row r="110" spans="1:8" ht="23.1" customHeight="1">
      <c r="A110" s="1">
        <v>63</v>
      </c>
      <c r="B110" s="1" t="str">
        <f>IF(AND(LEN(Screening!B64)=0,LEN(Screening!D64)=0),"",IF(LEN(Screening!B64)=0,"MISSING",IF(OR(NOT(ISNUMBER(Screening!B64)),COUNTIF($F$48:$F$282,Screening!B64)&lt;&gt;1),"INVALID",IF(COUNTIF(Screening!$B$2:$B$236,Screening!B64)&gt;1,"DUPLICATE","OK"))))</f>
        <v>OK</v>
      </c>
      <c r="C110" s="1" t="str">
        <f>IF(AND(LEN(Screening!B64)=0,LEN(Screening!D64)=0),"",IF(AND(B110="OK",ISNUMBER(Screening!D64),Screening!C64="yes",Screening!F64&lt;&gt;"",COUNTIF(Sessions!$A$2:$A$21,Screening!I64)=1,Screening!E64&lt;&gt;"",Screening!G64&lt;&gt;"",Screening!H64=$B$16),"OK","REVIEW"))</f>
        <v>OK</v>
      </c>
      <c r="D110" s="1" t="str">
        <f>IF(A110=Screening!A64,"OK","CHANGED")</f>
        <v>OK</v>
      </c>
      <c r="E110" s="1"/>
      <c r="F110" s="1">
        <v>63</v>
      </c>
      <c r="G110" s="1">
        <f>SUMIF(Screening!$B$2:$B$236,F110,$H$48:$H$282)</f>
        <v>1</v>
      </c>
      <c r="H110" s="1">
        <f>IF(ISNUMBER(Screening!D64),1,0)</f>
        <v>1</v>
      </c>
    </row>
    <row r="111" spans="1:8" ht="23.1" customHeight="1">
      <c r="A111" s="1">
        <v>64</v>
      </c>
      <c r="B111" s="1" t="str">
        <f>IF(AND(LEN(Screening!B65)=0,LEN(Screening!D65)=0),"",IF(LEN(Screening!B65)=0,"MISSING",IF(OR(NOT(ISNUMBER(Screening!B65)),COUNTIF($F$48:$F$282,Screening!B65)&lt;&gt;1),"INVALID",IF(COUNTIF(Screening!$B$2:$B$236,Screening!B65)&gt;1,"DUPLICATE","OK"))))</f>
        <v>OK</v>
      </c>
      <c r="C111" s="1" t="str">
        <f>IF(AND(LEN(Screening!B65)=0,LEN(Screening!D65)=0),"",IF(AND(B111="OK",ISNUMBER(Screening!D65),Screening!C65="yes",Screening!F65&lt;&gt;"",COUNTIF(Sessions!$A$2:$A$21,Screening!I65)=1,Screening!E65&lt;&gt;"",Screening!G65&lt;&gt;"",Screening!H65=$B$16),"OK","REVIEW"))</f>
        <v>OK</v>
      </c>
      <c r="D111" s="1" t="str">
        <f>IF(A111=Screening!A65,"OK","CHANGED")</f>
        <v>OK</v>
      </c>
      <c r="E111" s="1"/>
      <c r="F111" s="1">
        <v>64</v>
      </c>
      <c r="G111" s="1">
        <f>SUMIF(Screening!$B$2:$B$236,F111,$H$48:$H$282)</f>
        <v>1</v>
      </c>
      <c r="H111" s="1">
        <f>IF(ISNUMBER(Screening!D65),1,0)</f>
        <v>1</v>
      </c>
    </row>
    <row r="112" spans="1:8" ht="23.1" customHeight="1">
      <c r="A112" s="1">
        <v>65</v>
      </c>
      <c r="B112" s="1" t="str">
        <f>IF(AND(LEN(Screening!B66)=0,LEN(Screening!D66)=0),"",IF(LEN(Screening!B66)=0,"MISSING",IF(OR(NOT(ISNUMBER(Screening!B66)),COUNTIF($F$48:$F$282,Screening!B66)&lt;&gt;1),"INVALID",IF(COUNTIF(Screening!$B$2:$B$236,Screening!B66)&gt;1,"DUPLICATE","OK"))))</f>
        <v>OK</v>
      </c>
      <c r="C112" s="1" t="str">
        <f>IF(AND(LEN(Screening!B66)=0,LEN(Screening!D66)=0),"",IF(AND(B112="OK",ISNUMBER(Screening!D66),Screening!C66="yes",Screening!F66&lt;&gt;"",COUNTIF(Sessions!$A$2:$A$21,Screening!I66)=1,Screening!E66&lt;&gt;"",Screening!G66&lt;&gt;"",Screening!H66=$B$16),"OK","REVIEW"))</f>
        <v>OK</v>
      </c>
      <c r="D112" s="1" t="str">
        <f>IF(A112=Screening!A66,"OK","CHANGED")</f>
        <v>OK</v>
      </c>
      <c r="E112" s="1"/>
      <c r="F112" s="1">
        <v>65</v>
      </c>
      <c r="G112" s="1">
        <f>SUMIF(Screening!$B$2:$B$236,F112,$H$48:$H$282)</f>
        <v>1</v>
      </c>
      <c r="H112" s="1">
        <f>IF(ISNUMBER(Screening!D66),1,0)</f>
        <v>1</v>
      </c>
    </row>
    <row r="113" spans="1:8" ht="23.1" customHeight="1">
      <c r="A113" s="1">
        <v>66</v>
      </c>
      <c r="B113" s="1" t="str">
        <f>IF(AND(LEN(Screening!B67)=0,LEN(Screening!D67)=0),"",IF(LEN(Screening!B67)=0,"MISSING",IF(OR(NOT(ISNUMBER(Screening!B67)),COUNTIF($F$48:$F$282,Screening!B67)&lt;&gt;1),"INVALID",IF(COUNTIF(Screening!$B$2:$B$236,Screening!B67)&gt;1,"DUPLICATE","OK"))))</f>
        <v>OK</v>
      </c>
      <c r="C113" s="1" t="str">
        <f>IF(AND(LEN(Screening!B67)=0,LEN(Screening!D67)=0),"",IF(AND(B113="OK",ISNUMBER(Screening!D67),Screening!C67="yes",Screening!F67&lt;&gt;"",COUNTIF(Sessions!$A$2:$A$21,Screening!I67)=1,Screening!E67&lt;&gt;"",Screening!G67&lt;&gt;"",Screening!H67=$B$16),"OK","REVIEW"))</f>
        <v>OK</v>
      </c>
      <c r="D113" s="1" t="str">
        <f>IF(A113=Screening!A67,"OK","CHANGED")</f>
        <v>OK</v>
      </c>
      <c r="E113" s="1"/>
      <c r="F113" s="1">
        <v>66</v>
      </c>
      <c r="G113" s="1">
        <f>SUMIF(Screening!$B$2:$B$236,F113,$H$48:$H$282)</f>
        <v>1</v>
      </c>
      <c r="H113" s="1">
        <f>IF(ISNUMBER(Screening!D67),1,0)</f>
        <v>1</v>
      </c>
    </row>
    <row r="114" spans="1:8" ht="23.1" customHeight="1">
      <c r="A114" s="1">
        <v>67</v>
      </c>
      <c r="B114" s="1" t="str">
        <f>IF(AND(LEN(Screening!B68)=0,LEN(Screening!D68)=0),"",IF(LEN(Screening!B68)=0,"MISSING",IF(OR(NOT(ISNUMBER(Screening!B68)),COUNTIF($F$48:$F$282,Screening!B68)&lt;&gt;1),"INVALID",IF(COUNTIF(Screening!$B$2:$B$236,Screening!B68)&gt;1,"DUPLICATE","OK"))))</f>
        <v>OK</v>
      </c>
      <c r="C114" s="1" t="str">
        <f>IF(AND(LEN(Screening!B68)=0,LEN(Screening!D68)=0),"",IF(AND(B114="OK",ISNUMBER(Screening!D68),Screening!C68="yes",Screening!F68&lt;&gt;"",COUNTIF(Sessions!$A$2:$A$21,Screening!I68)=1,Screening!E68&lt;&gt;"",Screening!G68&lt;&gt;"",Screening!H68=$B$16),"OK","REVIEW"))</f>
        <v>OK</v>
      </c>
      <c r="D114" s="1" t="str">
        <f>IF(A114=Screening!A68,"OK","CHANGED")</f>
        <v>OK</v>
      </c>
      <c r="E114" s="1"/>
      <c r="F114" s="1">
        <v>67</v>
      </c>
      <c r="G114" s="1">
        <f>SUMIF(Screening!$B$2:$B$236,F114,$H$48:$H$282)</f>
        <v>1</v>
      </c>
      <c r="H114" s="1">
        <f>IF(ISNUMBER(Screening!D68),1,0)</f>
        <v>1</v>
      </c>
    </row>
    <row r="115" spans="1:8" ht="23.1" customHeight="1">
      <c r="A115" s="1">
        <v>68</v>
      </c>
      <c r="B115" s="1" t="str">
        <f>IF(AND(LEN(Screening!B69)=0,LEN(Screening!D69)=0),"",IF(LEN(Screening!B69)=0,"MISSING",IF(OR(NOT(ISNUMBER(Screening!B69)),COUNTIF($F$48:$F$282,Screening!B69)&lt;&gt;1),"INVALID",IF(COUNTIF(Screening!$B$2:$B$236,Screening!B69)&gt;1,"DUPLICATE","OK"))))</f>
        <v>OK</v>
      </c>
      <c r="C115" s="1" t="str">
        <f>IF(AND(LEN(Screening!B69)=0,LEN(Screening!D69)=0),"",IF(AND(B115="OK",ISNUMBER(Screening!D69),Screening!C69="yes",Screening!F69&lt;&gt;"",COUNTIF(Sessions!$A$2:$A$21,Screening!I69)=1,Screening!E69&lt;&gt;"",Screening!G69&lt;&gt;"",Screening!H69=$B$16),"OK","REVIEW"))</f>
        <v>OK</v>
      </c>
      <c r="D115" s="1" t="str">
        <f>IF(A115=Screening!A69,"OK","CHANGED")</f>
        <v>OK</v>
      </c>
      <c r="E115" s="1"/>
      <c r="F115" s="1">
        <v>68</v>
      </c>
      <c r="G115" s="1">
        <f>SUMIF(Screening!$B$2:$B$236,F115,$H$48:$H$282)</f>
        <v>1</v>
      </c>
      <c r="H115" s="1">
        <f>IF(ISNUMBER(Screening!D69),1,0)</f>
        <v>1</v>
      </c>
    </row>
    <row r="116" spans="1:8" ht="23.1" customHeight="1">
      <c r="A116" s="1">
        <v>69</v>
      </c>
      <c r="B116" s="1" t="str">
        <f>IF(AND(LEN(Screening!B70)=0,LEN(Screening!D70)=0),"",IF(LEN(Screening!B70)=0,"MISSING",IF(OR(NOT(ISNUMBER(Screening!B70)),COUNTIF($F$48:$F$282,Screening!B70)&lt;&gt;1),"INVALID",IF(COUNTIF(Screening!$B$2:$B$236,Screening!B70)&gt;1,"DUPLICATE","OK"))))</f>
        <v>OK</v>
      </c>
      <c r="C116" s="1" t="str">
        <f>IF(AND(LEN(Screening!B70)=0,LEN(Screening!D70)=0),"",IF(AND(B116="OK",ISNUMBER(Screening!D70),Screening!C70="yes",Screening!F70&lt;&gt;"",COUNTIF(Sessions!$A$2:$A$21,Screening!I70)=1,Screening!E70&lt;&gt;"",Screening!G70&lt;&gt;"",Screening!H70=$B$16),"OK","REVIEW"))</f>
        <v>OK</v>
      </c>
      <c r="D116" s="1" t="str">
        <f>IF(A116=Screening!A70,"OK","CHANGED")</f>
        <v>OK</v>
      </c>
      <c r="E116" s="1"/>
      <c r="F116" s="1">
        <v>69</v>
      </c>
      <c r="G116" s="1">
        <f>SUMIF(Screening!$B$2:$B$236,F116,$H$48:$H$282)</f>
        <v>1</v>
      </c>
      <c r="H116" s="1">
        <f>IF(ISNUMBER(Screening!D70),1,0)</f>
        <v>1</v>
      </c>
    </row>
    <row r="117" spans="1:8" ht="23.1" customHeight="1">
      <c r="A117" s="1">
        <v>70</v>
      </c>
      <c r="B117" s="1" t="str">
        <f>IF(AND(LEN(Screening!B71)=0,LEN(Screening!D71)=0),"",IF(LEN(Screening!B71)=0,"MISSING",IF(OR(NOT(ISNUMBER(Screening!B71)),COUNTIF($F$48:$F$282,Screening!B71)&lt;&gt;1),"INVALID",IF(COUNTIF(Screening!$B$2:$B$236,Screening!B71)&gt;1,"DUPLICATE","OK"))))</f>
        <v>OK</v>
      </c>
      <c r="C117" s="1" t="str">
        <f>IF(AND(LEN(Screening!B71)=0,LEN(Screening!D71)=0),"",IF(AND(B117="OK",ISNUMBER(Screening!D71),Screening!C71="yes",Screening!F71&lt;&gt;"",COUNTIF(Sessions!$A$2:$A$21,Screening!I71)=1,Screening!E71&lt;&gt;"",Screening!G71&lt;&gt;"",Screening!H71=$B$16),"OK","REVIEW"))</f>
        <v>OK</v>
      </c>
      <c r="D117" s="1" t="str">
        <f>IF(A117=Screening!A71,"OK","CHANGED")</f>
        <v>OK</v>
      </c>
      <c r="E117" s="1"/>
      <c r="F117" s="1">
        <v>70</v>
      </c>
      <c r="G117" s="1">
        <f>SUMIF(Screening!$B$2:$B$236,F117,$H$48:$H$282)</f>
        <v>1</v>
      </c>
      <c r="H117" s="1">
        <f>IF(ISNUMBER(Screening!D71),1,0)</f>
        <v>1</v>
      </c>
    </row>
    <row r="118" spans="1:8" ht="23.1" customHeight="1">
      <c r="A118" s="1">
        <v>71</v>
      </c>
      <c r="B118" s="1" t="str">
        <f>IF(AND(LEN(Screening!B72)=0,LEN(Screening!D72)=0),"",IF(LEN(Screening!B72)=0,"MISSING",IF(OR(NOT(ISNUMBER(Screening!B72)),COUNTIF($F$48:$F$282,Screening!B72)&lt;&gt;1),"INVALID",IF(COUNTIF(Screening!$B$2:$B$236,Screening!B72)&gt;1,"DUPLICATE","OK"))))</f>
        <v>OK</v>
      </c>
      <c r="C118" s="1" t="str">
        <f>IF(AND(LEN(Screening!B72)=0,LEN(Screening!D72)=0),"",IF(AND(B118="OK",ISNUMBER(Screening!D72),Screening!C72="yes",Screening!F72&lt;&gt;"",COUNTIF(Sessions!$A$2:$A$21,Screening!I72)=1,Screening!E72&lt;&gt;"",Screening!G72&lt;&gt;"",Screening!H72=$B$16),"OK","REVIEW"))</f>
        <v>OK</v>
      </c>
      <c r="D118" s="1" t="str">
        <f>IF(A118=Screening!A72,"OK","CHANGED")</f>
        <v>OK</v>
      </c>
      <c r="E118" s="1"/>
      <c r="F118" s="1">
        <v>71</v>
      </c>
      <c r="G118" s="1">
        <f>SUMIF(Screening!$B$2:$B$236,F118,$H$48:$H$282)</f>
        <v>1</v>
      </c>
      <c r="H118" s="1">
        <f>IF(ISNUMBER(Screening!D72),1,0)</f>
        <v>1</v>
      </c>
    </row>
    <row r="119" spans="1:8" ht="23.1" customHeight="1">
      <c r="A119" s="1">
        <v>72</v>
      </c>
      <c r="B119" s="1" t="str">
        <f>IF(AND(LEN(Screening!B73)=0,LEN(Screening!D73)=0),"",IF(LEN(Screening!B73)=0,"MISSING",IF(OR(NOT(ISNUMBER(Screening!B73)),COUNTIF($F$48:$F$282,Screening!B73)&lt;&gt;1),"INVALID",IF(COUNTIF(Screening!$B$2:$B$236,Screening!B73)&gt;1,"DUPLICATE","OK"))))</f>
        <v>OK</v>
      </c>
      <c r="C119" s="1" t="str">
        <f>IF(AND(LEN(Screening!B73)=0,LEN(Screening!D73)=0),"",IF(AND(B119="OK",ISNUMBER(Screening!D73),Screening!C73="yes",Screening!F73&lt;&gt;"",COUNTIF(Sessions!$A$2:$A$21,Screening!I73)=1,Screening!E73&lt;&gt;"",Screening!G73&lt;&gt;"",Screening!H73=$B$16),"OK","REVIEW"))</f>
        <v>OK</v>
      </c>
      <c r="D119" s="1" t="str">
        <f>IF(A119=Screening!A73,"OK","CHANGED")</f>
        <v>OK</v>
      </c>
      <c r="E119" s="1"/>
      <c r="F119" s="1">
        <v>72</v>
      </c>
      <c r="G119" s="1">
        <f>SUMIF(Screening!$B$2:$B$236,F119,$H$48:$H$282)</f>
        <v>1</v>
      </c>
      <c r="H119" s="1">
        <f>IF(ISNUMBER(Screening!D73),1,0)</f>
        <v>1</v>
      </c>
    </row>
    <row r="120" spans="1:8" ht="23.1" customHeight="1">
      <c r="A120" s="1">
        <v>73</v>
      </c>
      <c r="B120" s="1" t="str">
        <f>IF(AND(LEN(Screening!B74)=0,LEN(Screening!D74)=0),"",IF(LEN(Screening!B74)=0,"MISSING",IF(OR(NOT(ISNUMBER(Screening!B74)),COUNTIF($F$48:$F$282,Screening!B74)&lt;&gt;1),"INVALID",IF(COUNTIF(Screening!$B$2:$B$236,Screening!B74)&gt;1,"DUPLICATE","OK"))))</f>
        <v>OK</v>
      </c>
      <c r="C120" s="1" t="str">
        <f>IF(AND(LEN(Screening!B74)=0,LEN(Screening!D74)=0),"",IF(AND(B120="OK",ISNUMBER(Screening!D74),Screening!C74="yes",Screening!F74&lt;&gt;"",COUNTIF(Sessions!$A$2:$A$21,Screening!I74)=1,Screening!E74&lt;&gt;"",Screening!G74&lt;&gt;"",Screening!H74=$B$16),"OK","REVIEW"))</f>
        <v>OK</v>
      </c>
      <c r="D120" s="1" t="str">
        <f>IF(A120=Screening!A74,"OK","CHANGED")</f>
        <v>OK</v>
      </c>
      <c r="E120" s="1"/>
      <c r="F120" s="1">
        <v>73</v>
      </c>
      <c r="G120" s="1">
        <f>SUMIF(Screening!$B$2:$B$236,F120,$H$48:$H$282)</f>
        <v>1</v>
      </c>
      <c r="H120" s="1">
        <f>IF(ISNUMBER(Screening!D74),1,0)</f>
        <v>1</v>
      </c>
    </row>
    <row r="121" spans="1:8" ht="23.1" customHeight="1">
      <c r="A121" s="1">
        <v>74</v>
      </c>
      <c r="B121" s="1" t="str">
        <f>IF(AND(LEN(Screening!B75)=0,LEN(Screening!D75)=0),"",IF(LEN(Screening!B75)=0,"MISSING",IF(OR(NOT(ISNUMBER(Screening!B75)),COUNTIF($F$48:$F$282,Screening!B75)&lt;&gt;1),"INVALID",IF(COUNTIF(Screening!$B$2:$B$236,Screening!B75)&gt;1,"DUPLICATE","OK"))))</f>
        <v>OK</v>
      </c>
      <c r="C121" s="1" t="str">
        <f>IF(AND(LEN(Screening!B75)=0,LEN(Screening!D75)=0),"",IF(AND(B121="OK",ISNUMBER(Screening!D75),Screening!C75="yes",Screening!F75&lt;&gt;"",COUNTIF(Sessions!$A$2:$A$21,Screening!I75)=1,Screening!E75&lt;&gt;"",Screening!G75&lt;&gt;"",Screening!H75=$B$16),"OK","REVIEW"))</f>
        <v>OK</v>
      </c>
      <c r="D121" s="1" t="str">
        <f>IF(A121=Screening!A75,"OK","CHANGED")</f>
        <v>OK</v>
      </c>
      <c r="E121" s="1"/>
      <c r="F121" s="1">
        <v>74</v>
      </c>
      <c r="G121" s="1">
        <f>SUMIF(Screening!$B$2:$B$236,F121,$H$48:$H$282)</f>
        <v>1</v>
      </c>
      <c r="H121" s="1">
        <f>IF(ISNUMBER(Screening!D75),1,0)</f>
        <v>1</v>
      </c>
    </row>
    <row r="122" spans="1:8" ht="23.1" customHeight="1">
      <c r="A122" s="1">
        <v>75</v>
      </c>
      <c r="B122" s="1" t="str">
        <f>IF(AND(LEN(Screening!B76)=0,LEN(Screening!D76)=0),"",IF(LEN(Screening!B76)=0,"MISSING",IF(OR(NOT(ISNUMBER(Screening!B76)),COUNTIF($F$48:$F$282,Screening!B76)&lt;&gt;1),"INVALID",IF(COUNTIF(Screening!$B$2:$B$236,Screening!B76)&gt;1,"DUPLICATE","OK"))))</f>
        <v>OK</v>
      </c>
      <c r="C122" s="1" t="str">
        <f>IF(AND(LEN(Screening!B76)=0,LEN(Screening!D76)=0),"",IF(AND(B122="OK",ISNUMBER(Screening!D76),Screening!C76="yes",Screening!F76&lt;&gt;"",COUNTIF(Sessions!$A$2:$A$21,Screening!I76)=1,Screening!E76&lt;&gt;"",Screening!G76&lt;&gt;"",Screening!H76=$B$16),"OK","REVIEW"))</f>
        <v>OK</v>
      </c>
      <c r="D122" s="1" t="str">
        <f>IF(A122=Screening!A76,"OK","CHANGED")</f>
        <v>OK</v>
      </c>
      <c r="E122" s="1"/>
      <c r="F122" s="1">
        <v>75</v>
      </c>
      <c r="G122" s="1">
        <f>SUMIF(Screening!$B$2:$B$236,F122,$H$48:$H$282)</f>
        <v>1</v>
      </c>
      <c r="H122" s="1">
        <f>IF(ISNUMBER(Screening!D76),1,0)</f>
        <v>1</v>
      </c>
    </row>
    <row r="123" spans="1:8" ht="23.1" customHeight="1">
      <c r="A123" s="1">
        <v>76</v>
      </c>
      <c r="B123" s="1" t="str">
        <f>IF(AND(LEN(Screening!B77)=0,LEN(Screening!D77)=0),"",IF(LEN(Screening!B77)=0,"MISSING",IF(OR(NOT(ISNUMBER(Screening!B77)),COUNTIF($F$48:$F$282,Screening!B77)&lt;&gt;1),"INVALID",IF(COUNTIF(Screening!$B$2:$B$236,Screening!B77)&gt;1,"DUPLICATE","OK"))))</f>
        <v>OK</v>
      </c>
      <c r="C123" s="1" t="str">
        <f>IF(AND(LEN(Screening!B77)=0,LEN(Screening!D77)=0),"",IF(AND(B123="OK",ISNUMBER(Screening!D77),Screening!C77="yes",Screening!F77&lt;&gt;"",COUNTIF(Sessions!$A$2:$A$21,Screening!I77)=1,Screening!E77&lt;&gt;"",Screening!G77&lt;&gt;"",Screening!H77=$B$16),"OK","REVIEW"))</f>
        <v>OK</v>
      </c>
      <c r="D123" s="1" t="str">
        <f>IF(A123=Screening!A77,"OK","CHANGED")</f>
        <v>OK</v>
      </c>
      <c r="E123" s="1"/>
      <c r="F123" s="1">
        <v>76</v>
      </c>
      <c r="G123" s="1">
        <f>SUMIF(Screening!$B$2:$B$236,F123,$H$48:$H$282)</f>
        <v>1</v>
      </c>
      <c r="H123" s="1">
        <f>IF(ISNUMBER(Screening!D77),1,0)</f>
        <v>1</v>
      </c>
    </row>
    <row r="124" spans="1:8" ht="23.1" customHeight="1">
      <c r="A124" s="1">
        <v>77</v>
      </c>
      <c r="B124" s="1" t="str">
        <f>IF(AND(LEN(Screening!B78)=0,LEN(Screening!D78)=0),"",IF(LEN(Screening!B78)=0,"MISSING",IF(OR(NOT(ISNUMBER(Screening!B78)),COUNTIF($F$48:$F$282,Screening!B78)&lt;&gt;1),"INVALID",IF(COUNTIF(Screening!$B$2:$B$236,Screening!B78)&gt;1,"DUPLICATE","OK"))))</f>
        <v>OK</v>
      </c>
      <c r="C124" s="1" t="str">
        <f>IF(AND(LEN(Screening!B78)=0,LEN(Screening!D78)=0),"",IF(AND(B124="OK",ISNUMBER(Screening!D78),Screening!C78="yes",Screening!F78&lt;&gt;"",COUNTIF(Sessions!$A$2:$A$21,Screening!I78)=1,Screening!E78&lt;&gt;"",Screening!G78&lt;&gt;"",Screening!H78=$B$16),"OK","REVIEW"))</f>
        <v>OK</v>
      </c>
      <c r="D124" s="1" t="str">
        <f>IF(A124=Screening!A78,"OK","CHANGED")</f>
        <v>OK</v>
      </c>
      <c r="E124" s="1"/>
      <c r="F124" s="1">
        <v>77</v>
      </c>
      <c r="G124" s="1">
        <f>SUMIF(Screening!$B$2:$B$236,F124,$H$48:$H$282)</f>
        <v>1</v>
      </c>
      <c r="H124" s="1">
        <f>IF(ISNUMBER(Screening!D78),1,0)</f>
        <v>1</v>
      </c>
    </row>
    <row r="125" spans="1:8" ht="23.1" customHeight="1">
      <c r="A125" s="1">
        <v>78</v>
      </c>
      <c r="B125" s="1" t="str">
        <f>IF(AND(LEN(Screening!B79)=0,LEN(Screening!D79)=0),"",IF(LEN(Screening!B79)=0,"MISSING",IF(OR(NOT(ISNUMBER(Screening!B79)),COUNTIF($F$48:$F$282,Screening!B79)&lt;&gt;1),"INVALID",IF(COUNTIF(Screening!$B$2:$B$236,Screening!B79)&gt;1,"DUPLICATE","OK"))))</f>
        <v>OK</v>
      </c>
      <c r="C125" s="1" t="str">
        <f>IF(AND(LEN(Screening!B79)=0,LEN(Screening!D79)=0),"",IF(AND(B125="OK",ISNUMBER(Screening!D79),Screening!C79="yes",Screening!F79&lt;&gt;"",COUNTIF(Sessions!$A$2:$A$21,Screening!I79)=1,Screening!E79&lt;&gt;"",Screening!G79&lt;&gt;"",Screening!H79=$B$16),"OK","REVIEW"))</f>
        <v>OK</v>
      </c>
      <c r="D125" s="1" t="str">
        <f>IF(A125=Screening!A79,"OK","CHANGED")</f>
        <v>OK</v>
      </c>
      <c r="E125" s="1"/>
      <c r="F125" s="1">
        <v>78</v>
      </c>
      <c r="G125" s="1">
        <f>SUMIF(Screening!$B$2:$B$236,F125,$H$48:$H$282)</f>
        <v>1</v>
      </c>
      <c r="H125" s="1">
        <f>IF(ISNUMBER(Screening!D79),1,0)</f>
        <v>1</v>
      </c>
    </row>
    <row r="126" spans="1:8" ht="23.1" customHeight="1">
      <c r="A126" s="1">
        <v>79</v>
      </c>
      <c r="B126" s="1" t="str">
        <f>IF(AND(LEN(Screening!B80)=0,LEN(Screening!D80)=0),"",IF(LEN(Screening!B80)=0,"MISSING",IF(OR(NOT(ISNUMBER(Screening!B80)),COUNTIF($F$48:$F$282,Screening!B80)&lt;&gt;1),"INVALID",IF(COUNTIF(Screening!$B$2:$B$236,Screening!B80)&gt;1,"DUPLICATE","OK"))))</f>
        <v>OK</v>
      </c>
      <c r="C126" s="1" t="str">
        <f>IF(AND(LEN(Screening!B80)=0,LEN(Screening!D80)=0),"",IF(AND(B126="OK",ISNUMBER(Screening!D80),Screening!C80="yes",Screening!F80&lt;&gt;"",COUNTIF(Sessions!$A$2:$A$21,Screening!I80)=1,Screening!E80&lt;&gt;"",Screening!G80&lt;&gt;"",Screening!H80=$B$16),"OK","REVIEW"))</f>
        <v>OK</v>
      </c>
      <c r="D126" s="1" t="str">
        <f>IF(A126=Screening!A80,"OK","CHANGED")</f>
        <v>OK</v>
      </c>
      <c r="E126" s="1"/>
      <c r="F126" s="1">
        <v>79</v>
      </c>
      <c r="G126" s="1">
        <f>SUMIF(Screening!$B$2:$B$236,F126,$H$48:$H$282)</f>
        <v>1</v>
      </c>
      <c r="H126" s="1">
        <f>IF(ISNUMBER(Screening!D80),1,0)</f>
        <v>1</v>
      </c>
    </row>
    <row r="127" spans="1:8" ht="23.1" customHeight="1">
      <c r="A127" s="1">
        <v>80</v>
      </c>
      <c r="B127" s="1" t="str">
        <f>IF(AND(LEN(Screening!B81)=0,LEN(Screening!D81)=0),"",IF(LEN(Screening!B81)=0,"MISSING",IF(OR(NOT(ISNUMBER(Screening!B81)),COUNTIF($F$48:$F$282,Screening!B81)&lt;&gt;1),"INVALID",IF(COUNTIF(Screening!$B$2:$B$236,Screening!B81)&gt;1,"DUPLICATE","OK"))))</f>
        <v>OK</v>
      </c>
      <c r="C127" s="1" t="str">
        <f>IF(AND(LEN(Screening!B81)=0,LEN(Screening!D81)=0),"",IF(AND(B127="OK",ISNUMBER(Screening!D81),Screening!C81="yes",Screening!F81&lt;&gt;"",COUNTIF(Sessions!$A$2:$A$21,Screening!I81)=1,Screening!E81&lt;&gt;"",Screening!G81&lt;&gt;"",Screening!H81=$B$16),"OK","REVIEW"))</f>
        <v>OK</v>
      </c>
      <c r="D127" s="1" t="str">
        <f>IF(A127=Screening!A81,"OK","CHANGED")</f>
        <v>OK</v>
      </c>
      <c r="E127" s="1"/>
      <c r="F127" s="1">
        <v>80</v>
      </c>
      <c r="G127" s="1">
        <f>SUMIF(Screening!$B$2:$B$236,F127,$H$48:$H$282)</f>
        <v>1</v>
      </c>
      <c r="H127" s="1">
        <f>IF(ISNUMBER(Screening!D81),1,0)</f>
        <v>1</v>
      </c>
    </row>
    <row r="128" spans="1:8" ht="23.1" customHeight="1">
      <c r="A128" s="1">
        <v>81</v>
      </c>
      <c r="B128" s="1" t="str">
        <f>IF(AND(LEN(Screening!B82)=0,LEN(Screening!D82)=0),"",IF(LEN(Screening!B82)=0,"MISSING",IF(OR(NOT(ISNUMBER(Screening!B82)),COUNTIF($F$48:$F$282,Screening!B82)&lt;&gt;1),"INVALID",IF(COUNTIF(Screening!$B$2:$B$236,Screening!B82)&gt;1,"DUPLICATE","OK"))))</f>
        <v>OK</v>
      </c>
      <c r="C128" s="1" t="str">
        <f>IF(AND(LEN(Screening!B82)=0,LEN(Screening!D82)=0),"",IF(AND(B128="OK",ISNUMBER(Screening!D82),Screening!C82="yes",Screening!F82&lt;&gt;"",COUNTIF(Sessions!$A$2:$A$21,Screening!I82)=1,Screening!E82&lt;&gt;"",Screening!G82&lt;&gt;"",Screening!H82=$B$16),"OK","REVIEW"))</f>
        <v>OK</v>
      </c>
      <c r="D128" s="1" t="str">
        <f>IF(A128=Screening!A82,"OK","CHANGED")</f>
        <v>OK</v>
      </c>
      <c r="E128" s="1"/>
      <c r="F128" s="1">
        <v>81</v>
      </c>
      <c r="G128" s="1">
        <f>SUMIF(Screening!$B$2:$B$236,F128,$H$48:$H$282)</f>
        <v>1</v>
      </c>
      <c r="H128" s="1">
        <f>IF(ISNUMBER(Screening!D82),1,0)</f>
        <v>1</v>
      </c>
    </row>
    <row r="129" spans="1:8" ht="23.1" customHeight="1">
      <c r="A129" s="1">
        <v>82</v>
      </c>
      <c r="B129" s="1" t="str">
        <f>IF(AND(LEN(Screening!B83)=0,LEN(Screening!D83)=0),"",IF(LEN(Screening!B83)=0,"MISSING",IF(OR(NOT(ISNUMBER(Screening!B83)),COUNTIF($F$48:$F$282,Screening!B83)&lt;&gt;1),"INVALID",IF(COUNTIF(Screening!$B$2:$B$236,Screening!B83)&gt;1,"DUPLICATE","OK"))))</f>
        <v>OK</v>
      </c>
      <c r="C129" s="1" t="str">
        <f>IF(AND(LEN(Screening!B83)=0,LEN(Screening!D83)=0),"",IF(AND(B129="OK",ISNUMBER(Screening!D83),Screening!C83="yes",Screening!F83&lt;&gt;"",COUNTIF(Sessions!$A$2:$A$21,Screening!I83)=1,Screening!E83&lt;&gt;"",Screening!G83&lt;&gt;"",Screening!H83=$B$16),"OK","REVIEW"))</f>
        <v>OK</v>
      </c>
      <c r="D129" s="1" t="str">
        <f>IF(A129=Screening!A83,"OK","CHANGED")</f>
        <v>OK</v>
      </c>
      <c r="E129" s="1"/>
      <c r="F129" s="1">
        <v>82</v>
      </c>
      <c r="G129" s="1">
        <f>SUMIF(Screening!$B$2:$B$236,F129,$H$48:$H$282)</f>
        <v>1</v>
      </c>
      <c r="H129" s="1">
        <f>IF(ISNUMBER(Screening!D83),1,0)</f>
        <v>1</v>
      </c>
    </row>
    <row r="130" spans="1:8" ht="23.1" customHeight="1">
      <c r="A130" s="1">
        <v>83</v>
      </c>
      <c r="B130" s="1" t="str">
        <f>IF(AND(LEN(Screening!B84)=0,LEN(Screening!D84)=0),"",IF(LEN(Screening!B84)=0,"MISSING",IF(OR(NOT(ISNUMBER(Screening!B84)),COUNTIF($F$48:$F$282,Screening!B84)&lt;&gt;1),"INVALID",IF(COUNTIF(Screening!$B$2:$B$236,Screening!B84)&gt;1,"DUPLICATE","OK"))))</f>
        <v>OK</v>
      </c>
      <c r="C130" s="1" t="str">
        <f>IF(AND(LEN(Screening!B84)=0,LEN(Screening!D84)=0),"",IF(AND(B130="OK",ISNUMBER(Screening!D84),Screening!C84="yes",Screening!F84&lt;&gt;"",COUNTIF(Sessions!$A$2:$A$21,Screening!I84)=1,Screening!E84&lt;&gt;"",Screening!G84&lt;&gt;"",Screening!H84=$B$16),"OK","REVIEW"))</f>
        <v>OK</v>
      </c>
      <c r="D130" s="1" t="str">
        <f>IF(A130=Screening!A84,"OK","CHANGED")</f>
        <v>OK</v>
      </c>
      <c r="E130" s="1"/>
      <c r="F130" s="1">
        <v>83</v>
      </c>
      <c r="G130" s="1">
        <f>SUMIF(Screening!$B$2:$B$236,F130,$H$48:$H$282)</f>
        <v>1</v>
      </c>
      <c r="H130" s="1">
        <f>IF(ISNUMBER(Screening!D84),1,0)</f>
        <v>1</v>
      </c>
    </row>
    <row r="131" spans="1:8" ht="23.1" customHeight="1">
      <c r="A131" s="1">
        <v>84</v>
      </c>
      <c r="B131" s="1" t="str">
        <f>IF(AND(LEN(Screening!B85)=0,LEN(Screening!D85)=0),"",IF(LEN(Screening!B85)=0,"MISSING",IF(OR(NOT(ISNUMBER(Screening!B85)),COUNTIF($F$48:$F$282,Screening!B85)&lt;&gt;1),"INVALID",IF(COUNTIF(Screening!$B$2:$B$236,Screening!B85)&gt;1,"DUPLICATE","OK"))))</f>
        <v>OK</v>
      </c>
      <c r="C131" s="1" t="str">
        <f>IF(AND(LEN(Screening!B85)=0,LEN(Screening!D85)=0),"",IF(AND(B131="OK",ISNUMBER(Screening!D85),Screening!C85="yes",Screening!F85&lt;&gt;"",COUNTIF(Sessions!$A$2:$A$21,Screening!I85)=1,Screening!E85&lt;&gt;"",Screening!G85&lt;&gt;"",Screening!H85=$B$16),"OK","REVIEW"))</f>
        <v>OK</v>
      </c>
      <c r="D131" s="1" t="str">
        <f>IF(A131=Screening!A85,"OK","CHANGED")</f>
        <v>OK</v>
      </c>
      <c r="E131" s="1"/>
      <c r="F131" s="1">
        <v>84</v>
      </c>
      <c r="G131" s="1">
        <f>SUMIF(Screening!$B$2:$B$236,F131,$H$48:$H$282)</f>
        <v>1</v>
      </c>
      <c r="H131" s="1">
        <f>IF(ISNUMBER(Screening!D85),1,0)</f>
        <v>1</v>
      </c>
    </row>
    <row r="132" spans="1:8" ht="23.1" customHeight="1">
      <c r="A132" s="1">
        <v>85</v>
      </c>
      <c r="B132" s="1" t="str">
        <f>IF(AND(LEN(Screening!B86)=0,LEN(Screening!D86)=0),"",IF(LEN(Screening!B86)=0,"MISSING",IF(OR(NOT(ISNUMBER(Screening!B86)),COUNTIF($F$48:$F$282,Screening!B86)&lt;&gt;1),"INVALID",IF(COUNTIF(Screening!$B$2:$B$236,Screening!B86)&gt;1,"DUPLICATE","OK"))))</f>
        <v>OK</v>
      </c>
      <c r="C132" s="1" t="str">
        <f>IF(AND(LEN(Screening!B86)=0,LEN(Screening!D86)=0),"",IF(AND(B132="OK",ISNUMBER(Screening!D86),Screening!C86="yes",Screening!F86&lt;&gt;"",COUNTIF(Sessions!$A$2:$A$21,Screening!I86)=1,Screening!E86&lt;&gt;"",Screening!G86&lt;&gt;"",Screening!H86=$B$16),"OK","REVIEW"))</f>
        <v>OK</v>
      </c>
      <c r="D132" s="1" t="str">
        <f>IF(A132=Screening!A86,"OK","CHANGED")</f>
        <v>OK</v>
      </c>
      <c r="E132" s="1"/>
      <c r="F132" s="1">
        <v>85</v>
      </c>
      <c r="G132" s="1">
        <f>SUMIF(Screening!$B$2:$B$236,F132,$H$48:$H$282)</f>
        <v>1</v>
      </c>
      <c r="H132" s="1">
        <f>IF(ISNUMBER(Screening!D86),1,0)</f>
        <v>1</v>
      </c>
    </row>
    <row r="133" spans="1:8" ht="23.1" customHeight="1">
      <c r="A133" s="1">
        <v>86</v>
      </c>
      <c r="B133" s="1" t="str">
        <f>IF(AND(LEN(Screening!B87)=0,LEN(Screening!D87)=0),"",IF(LEN(Screening!B87)=0,"MISSING",IF(OR(NOT(ISNUMBER(Screening!B87)),COUNTIF($F$48:$F$282,Screening!B87)&lt;&gt;1),"INVALID",IF(COUNTIF(Screening!$B$2:$B$236,Screening!B87)&gt;1,"DUPLICATE","OK"))))</f>
        <v>OK</v>
      </c>
      <c r="C133" s="1" t="str">
        <f>IF(AND(LEN(Screening!B87)=0,LEN(Screening!D87)=0),"",IF(AND(B133="OK",ISNUMBER(Screening!D87),Screening!C87="yes",Screening!F87&lt;&gt;"",COUNTIF(Sessions!$A$2:$A$21,Screening!I87)=1,Screening!E87&lt;&gt;"",Screening!G87&lt;&gt;"",Screening!H87=$B$16),"OK","REVIEW"))</f>
        <v>OK</v>
      </c>
      <c r="D133" s="1" t="str">
        <f>IF(A133=Screening!A87,"OK","CHANGED")</f>
        <v>OK</v>
      </c>
      <c r="E133" s="1"/>
      <c r="F133" s="1">
        <v>86</v>
      </c>
      <c r="G133" s="1">
        <f>SUMIF(Screening!$B$2:$B$236,F133,$H$48:$H$282)</f>
        <v>1</v>
      </c>
      <c r="H133" s="1">
        <f>IF(ISNUMBER(Screening!D87),1,0)</f>
        <v>1</v>
      </c>
    </row>
    <row r="134" spans="1:8" ht="23.1" customHeight="1">
      <c r="A134" s="1">
        <v>87</v>
      </c>
      <c r="B134" s="1" t="str">
        <f>IF(AND(LEN(Screening!B88)=0,LEN(Screening!D88)=0),"",IF(LEN(Screening!B88)=0,"MISSING",IF(OR(NOT(ISNUMBER(Screening!B88)),COUNTIF($F$48:$F$282,Screening!B88)&lt;&gt;1),"INVALID",IF(COUNTIF(Screening!$B$2:$B$236,Screening!B88)&gt;1,"DUPLICATE","OK"))))</f>
        <v>OK</v>
      </c>
      <c r="C134" s="1" t="str">
        <f>IF(AND(LEN(Screening!B88)=0,LEN(Screening!D88)=0),"",IF(AND(B134="OK",ISNUMBER(Screening!D88),Screening!C88="yes",Screening!F88&lt;&gt;"",COUNTIF(Sessions!$A$2:$A$21,Screening!I88)=1,Screening!E88&lt;&gt;"",Screening!G88&lt;&gt;"",Screening!H88=$B$16),"OK","REVIEW"))</f>
        <v>OK</v>
      </c>
      <c r="D134" s="1" t="str">
        <f>IF(A134=Screening!A88,"OK","CHANGED")</f>
        <v>OK</v>
      </c>
      <c r="E134" s="1"/>
      <c r="F134" s="1">
        <v>87</v>
      </c>
      <c r="G134" s="1">
        <f>SUMIF(Screening!$B$2:$B$236,F134,$H$48:$H$282)</f>
        <v>1</v>
      </c>
      <c r="H134" s="1">
        <f>IF(ISNUMBER(Screening!D88),1,0)</f>
        <v>1</v>
      </c>
    </row>
    <row r="135" spans="1:8" ht="23.1" customHeight="1">
      <c r="A135" s="1">
        <v>88</v>
      </c>
      <c r="B135" s="1" t="str">
        <f>IF(AND(LEN(Screening!B89)=0,LEN(Screening!D89)=0),"",IF(LEN(Screening!B89)=0,"MISSING",IF(OR(NOT(ISNUMBER(Screening!B89)),COUNTIF($F$48:$F$282,Screening!B89)&lt;&gt;1),"INVALID",IF(COUNTIF(Screening!$B$2:$B$236,Screening!B89)&gt;1,"DUPLICATE","OK"))))</f>
        <v>OK</v>
      </c>
      <c r="C135" s="1" t="str">
        <f>IF(AND(LEN(Screening!B89)=0,LEN(Screening!D89)=0),"",IF(AND(B135="OK",ISNUMBER(Screening!D89),Screening!C89="yes",Screening!F89&lt;&gt;"",COUNTIF(Sessions!$A$2:$A$21,Screening!I89)=1,Screening!E89&lt;&gt;"",Screening!G89&lt;&gt;"",Screening!H89=$B$16),"OK","REVIEW"))</f>
        <v>OK</v>
      </c>
      <c r="D135" s="1" t="str">
        <f>IF(A135=Screening!A89,"OK","CHANGED")</f>
        <v>OK</v>
      </c>
      <c r="E135" s="1"/>
      <c r="F135" s="1">
        <v>88</v>
      </c>
      <c r="G135" s="1">
        <f>SUMIF(Screening!$B$2:$B$236,F135,$H$48:$H$282)</f>
        <v>1</v>
      </c>
      <c r="H135" s="1">
        <f>IF(ISNUMBER(Screening!D89),1,0)</f>
        <v>1</v>
      </c>
    </row>
    <row r="136" spans="1:8" ht="23.1" customHeight="1">
      <c r="A136" s="1">
        <v>89</v>
      </c>
      <c r="B136" s="1" t="str">
        <f>IF(AND(LEN(Screening!B90)=0,LEN(Screening!D90)=0),"",IF(LEN(Screening!B90)=0,"MISSING",IF(OR(NOT(ISNUMBER(Screening!B90)),COUNTIF($F$48:$F$282,Screening!B90)&lt;&gt;1),"INVALID",IF(COUNTIF(Screening!$B$2:$B$236,Screening!B90)&gt;1,"DUPLICATE","OK"))))</f>
        <v>OK</v>
      </c>
      <c r="C136" s="1" t="str">
        <f>IF(AND(LEN(Screening!B90)=0,LEN(Screening!D90)=0),"",IF(AND(B136="OK",ISNUMBER(Screening!D90),Screening!C90="yes",Screening!F90&lt;&gt;"",COUNTIF(Sessions!$A$2:$A$21,Screening!I90)=1,Screening!E90&lt;&gt;"",Screening!G90&lt;&gt;"",Screening!H90=$B$16),"OK","REVIEW"))</f>
        <v>OK</v>
      </c>
      <c r="D136" s="1" t="str">
        <f>IF(A136=Screening!A90,"OK","CHANGED")</f>
        <v>OK</v>
      </c>
      <c r="E136" s="1"/>
      <c r="F136" s="1">
        <v>89</v>
      </c>
      <c r="G136" s="1">
        <f>SUMIF(Screening!$B$2:$B$236,F136,$H$48:$H$282)</f>
        <v>1</v>
      </c>
      <c r="H136" s="1">
        <f>IF(ISNUMBER(Screening!D90),1,0)</f>
        <v>1</v>
      </c>
    </row>
    <row r="137" spans="1:8" ht="23.1" customHeight="1">
      <c r="A137" s="1">
        <v>90</v>
      </c>
      <c r="B137" s="1" t="str">
        <f>IF(AND(LEN(Screening!B91)=0,LEN(Screening!D91)=0),"",IF(LEN(Screening!B91)=0,"MISSING",IF(OR(NOT(ISNUMBER(Screening!B91)),COUNTIF($F$48:$F$282,Screening!B91)&lt;&gt;1),"INVALID",IF(COUNTIF(Screening!$B$2:$B$236,Screening!B91)&gt;1,"DUPLICATE","OK"))))</f>
        <v>OK</v>
      </c>
      <c r="C137" s="1" t="str">
        <f>IF(AND(LEN(Screening!B91)=0,LEN(Screening!D91)=0),"",IF(AND(B137="OK",ISNUMBER(Screening!D91),Screening!C91="yes",Screening!F91&lt;&gt;"",COUNTIF(Sessions!$A$2:$A$21,Screening!I91)=1,Screening!E91&lt;&gt;"",Screening!G91&lt;&gt;"",Screening!H91=$B$16),"OK","REVIEW"))</f>
        <v>OK</v>
      </c>
      <c r="D137" s="1" t="str">
        <f>IF(A137=Screening!A91,"OK","CHANGED")</f>
        <v>OK</v>
      </c>
      <c r="E137" s="1"/>
      <c r="F137" s="1">
        <v>90</v>
      </c>
      <c r="G137" s="1">
        <f>SUMIF(Screening!$B$2:$B$236,F137,$H$48:$H$282)</f>
        <v>1</v>
      </c>
      <c r="H137" s="1">
        <f>IF(ISNUMBER(Screening!D91),1,0)</f>
        <v>1</v>
      </c>
    </row>
    <row r="138" spans="1:8" ht="23.1" customHeight="1">
      <c r="A138" s="1">
        <v>91</v>
      </c>
      <c r="B138" s="1" t="str">
        <f>IF(AND(LEN(Screening!B92)=0,LEN(Screening!D92)=0),"",IF(LEN(Screening!B92)=0,"MISSING",IF(OR(NOT(ISNUMBER(Screening!B92)),COUNTIF($F$48:$F$282,Screening!B92)&lt;&gt;1),"INVALID",IF(COUNTIF(Screening!$B$2:$B$236,Screening!B92)&gt;1,"DUPLICATE","OK"))))</f>
        <v>OK</v>
      </c>
      <c r="C138" s="1" t="str">
        <f>IF(AND(LEN(Screening!B92)=0,LEN(Screening!D92)=0),"",IF(AND(B138="OK",ISNUMBER(Screening!D92),Screening!C92="yes",Screening!F92&lt;&gt;"",COUNTIF(Sessions!$A$2:$A$21,Screening!I92)=1,Screening!E92&lt;&gt;"",Screening!G92&lt;&gt;"",Screening!H92=$B$16),"OK","REVIEW"))</f>
        <v>OK</v>
      </c>
      <c r="D138" s="1" t="str">
        <f>IF(A138=Screening!A92,"OK","CHANGED")</f>
        <v>OK</v>
      </c>
      <c r="E138" s="1"/>
      <c r="F138" s="1">
        <v>91</v>
      </c>
      <c r="G138" s="1">
        <f>SUMIF(Screening!$B$2:$B$236,F138,$H$48:$H$282)</f>
        <v>1</v>
      </c>
      <c r="H138" s="1">
        <f>IF(ISNUMBER(Screening!D92),1,0)</f>
        <v>1</v>
      </c>
    </row>
    <row r="139" spans="1:8" ht="23.1" customHeight="1">
      <c r="A139" s="1">
        <v>92</v>
      </c>
      <c r="B139" s="1" t="str">
        <f>IF(AND(LEN(Screening!B93)=0,LEN(Screening!D93)=0),"",IF(LEN(Screening!B93)=0,"MISSING",IF(OR(NOT(ISNUMBER(Screening!B93)),COUNTIF($F$48:$F$282,Screening!B93)&lt;&gt;1),"INVALID",IF(COUNTIF(Screening!$B$2:$B$236,Screening!B93)&gt;1,"DUPLICATE","OK"))))</f>
        <v>OK</v>
      </c>
      <c r="C139" s="1" t="str">
        <f>IF(AND(LEN(Screening!B93)=0,LEN(Screening!D93)=0),"",IF(AND(B139="OK",ISNUMBER(Screening!D93),Screening!C93="yes",Screening!F93&lt;&gt;"",COUNTIF(Sessions!$A$2:$A$21,Screening!I93)=1,Screening!E93&lt;&gt;"",Screening!G93&lt;&gt;"",Screening!H93=$B$16),"OK","REVIEW"))</f>
        <v>OK</v>
      </c>
      <c r="D139" s="1" t="str">
        <f>IF(A139=Screening!A93,"OK","CHANGED")</f>
        <v>OK</v>
      </c>
      <c r="E139" s="1"/>
      <c r="F139" s="1">
        <v>92</v>
      </c>
      <c r="G139" s="1">
        <f>SUMIF(Screening!$B$2:$B$236,F139,$H$48:$H$282)</f>
        <v>1</v>
      </c>
      <c r="H139" s="1">
        <f>IF(ISNUMBER(Screening!D93),1,0)</f>
        <v>1</v>
      </c>
    </row>
    <row r="140" spans="1:8" ht="23.1" customHeight="1">
      <c r="A140" s="1">
        <v>93</v>
      </c>
      <c r="B140" s="1" t="str">
        <f>IF(AND(LEN(Screening!B94)=0,LEN(Screening!D94)=0),"",IF(LEN(Screening!B94)=0,"MISSING",IF(OR(NOT(ISNUMBER(Screening!B94)),COUNTIF($F$48:$F$282,Screening!B94)&lt;&gt;1),"INVALID",IF(COUNTIF(Screening!$B$2:$B$236,Screening!B94)&gt;1,"DUPLICATE","OK"))))</f>
        <v>OK</v>
      </c>
      <c r="C140" s="1" t="str">
        <f>IF(AND(LEN(Screening!B94)=0,LEN(Screening!D94)=0),"",IF(AND(B140="OK",ISNUMBER(Screening!D94),Screening!C94="yes",Screening!F94&lt;&gt;"",COUNTIF(Sessions!$A$2:$A$21,Screening!I94)=1,Screening!E94&lt;&gt;"",Screening!G94&lt;&gt;"",Screening!H94=$B$16),"OK","REVIEW"))</f>
        <v>OK</v>
      </c>
      <c r="D140" s="1" t="str">
        <f>IF(A140=Screening!A94,"OK","CHANGED")</f>
        <v>OK</v>
      </c>
      <c r="E140" s="1"/>
      <c r="F140" s="1">
        <v>93</v>
      </c>
      <c r="G140" s="1">
        <f>SUMIF(Screening!$B$2:$B$236,F140,$H$48:$H$282)</f>
        <v>1</v>
      </c>
      <c r="H140" s="1">
        <f>IF(ISNUMBER(Screening!D94),1,0)</f>
        <v>1</v>
      </c>
    </row>
    <row r="141" spans="1:8" ht="23.1" customHeight="1">
      <c r="A141" s="1">
        <v>94</v>
      </c>
      <c r="B141" s="1" t="str">
        <f>IF(AND(LEN(Screening!B95)=0,LEN(Screening!D95)=0),"",IF(LEN(Screening!B95)=0,"MISSING",IF(OR(NOT(ISNUMBER(Screening!B95)),COUNTIF($F$48:$F$282,Screening!B95)&lt;&gt;1),"INVALID",IF(COUNTIF(Screening!$B$2:$B$236,Screening!B95)&gt;1,"DUPLICATE","OK"))))</f>
        <v>OK</v>
      </c>
      <c r="C141" s="1" t="str">
        <f>IF(AND(LEN(Screening!B95)=0,LEN(Screening!D95)=0),"",IF(AND(B141="OK",ISNUMBER(Screening!D95),Screening!C95="yes",Screening!F95&lt;&gt;"",COUNTIF(Sessions!$A$2:$A$21,Screening!I95)=1,Screening!E95&lt;&gt;"",Screening!G95&lt;&gt;"",Screening!H95=$B$16),"OK","REVIEW"))</f>
        <v>OK</v>
      </c>
      <c r="D141" s="1" t="str">
        <f>IF(A141=Screening!A95,"OK","CHANGED")</f>
        <v>OK</v>
      </c>
      <c r="E141" s="1"/>
      <c r="F141" s="1">
        <v>94</v>
      </c>
      <c r="G141" s="1">
        <f>SUMIF(Screening!$B$2:$B$236,F141,$H$48:$H$282)</f>
        <v>1</v>
      </c>
      <c r="H141" s="1">
        <f>IF(ISNUMBER(Screening!D95),1,0)</f>
        <v>1</v>
      </c>
    </row>
    <row r="142" spans="1:8" ht="23.1" customHeight="1">
      <c r="A142" s="1">
        <v>95</v>
      </c>
      <c r="B142" s="1" t="str">
        <f>IF(AND(LEN(Screening!B96)=0,LEN(Screening!D96)=0),"",IF(LEN(Screening!B96)=0,"MISSING",IF(OR(NOT(ISNUMBER(Screening!B96)),COUNTIF($F$48:$F$282,Screening!B96)&lt;&gt;1),"INVALID",IF(COUNTIF(Screening!$B$2:$B$236,Screening!B96)&gt;1,"DUPLICATE","OK"))))</f>
        <v>OK</v>
      </c>
      <c r="C142" s="1" t="str">
        <f>IF(AND(LEN(Screening!B96)=0,LEN(Screening!D96)=0),"",IF(AND(B142="OK",ISNUMBER(Screening!D96),Screening!C96="yes",Screening!F96&lt;&gt;"",COUNTIF(Sessions!$A$2:$A$21,Screening!I96)=1,Screening!E96&lt;&gt;"",Screening!G96&lt;&gt;"",Screening!H96=$B$16),"OK","REVIEW"))</f>
        <v>OK</v>
      </c>
      <c r="D142" s="1" t="str">
        <f>IF(A142=Screening!A96,"OK","CHANGED")</f>
        <v>OK</v>
      </c>
      <c r="E142" s="1"/>
      <c r="F142" s="1">
        <v>95</v>
      </c>
      <c r="G142" s="1">
        <f>SUMIF(Screening!$B$2:$B$236,F142,$H$48:$H$282)</f>
        <v>1</v>
      </c>
      <c r="H142" s="1">
        <f>IF(ISNUMBER(Screening!D96),1,0)</f>
        <v>1</v>
      </c>
    </row>
    <row r="143" spans="1:8" ht="23.1" customHeight="1">
      <c r="A143" s="1">
        <v>96</v>
      </c>
      <c r="B143" s="1" t="str">
        <f>IF(AND(LEN(Screening!B97)=0,LEN(Screening!D97)=0),"",IF(LEN(Screening!B97)=0,"MISSING",IF(OR(NOT(ISNUMBER(Screening!B97)),COUNTIF($F$48:$F$282,Screening!B97)&lt;&gt;1),"INVALID",IF(COUNTIF(Screening!$B$2:$B$236,Screening!B97)&gt;1,"DUPLICATE","OK"))))</f>
        <v>OK</v>
      </c>
      <c r="C143" s="1" t="str">
        <f>IF(AND(LEN(Screening!B97)=0,LEN(Screening!D97)=0),"",IF(AND(B143="OK",ISNUMBER(Screening!D97),Screening!C97="yes",Screening!F97&lt;&gt;"",COUNTIF(Sessions!$A$2:$A$21,Screening!I97)=1,Screening!E97&lt;&gt;"",Screening!G97&lt;&gt;"",Screening!H97=$B$16),"OK","REVIEW"))</f>
        <v>OK</v>
      </c>
      <c r="D143" s="1" t="str">
        <f>IF(A143=Screening!A97,"OK","CHANGED")</f>
        <v>OK</v>
      </c>
      <c r="E143" s="1"/>
      <c r="F143" s="1">
        <v>96</v>
      </c>
      <c r="G143" s="1">
        <f>SUMIF(Screening!$B$2:$B$236,F143,$H$48:$H$282)</f>
        <v>1</v>
      </c>
      <c r="H143" s="1">
        <f>IF(ISNUMBER(Screening!D97),1,0)</f>
        <v>1</v>
      </c>
    </row>
    <row r="144" spans="1:8" ht="23.1" customHeight="1">
      <c r="A144" s="1">
        <v>97</v>
      </c>
      <c r="B144" s="1" t="str">
        <f>IF(AND(LEN(Screening!B98)=0,LEN(Screening!D98)=0),"",IF(LEN(Screening!B98)=0,"MISSING",IF(OR(NOT(ISNUMBER(Screening!B98)),COUNTIF($F$48:$F$282,Screening!B98)&lt;&gt;1),"INVALID",IF(COUNTIF(Screening!$B$2:$B$236,Screening!B98)&gt;1,"DUPLICATE","OK"))))</f>
        <v>OK</v>
      </c>
      <c r="C144" s="1" t="str">
        <f>IF(AND(LEN(Screening!B98)=0,LEN(Screening!D98)=0),"",IF(AND(B144="OK",ISNUMBER(Screening!D98),Screening!C98="yes",Screening!F98&lt;&gt;"",COUNTIF(Sessions!$A$2:$A$21,Screening!I98)=1,Screening!E98&lt;&gt;"",Screening!G98&lt;&gt;"",Screening!H98=$B$16),"OK","REVIEW"))</f>
        <v>OK</v>
      </c>
      <c r="D144" s="1" t="str">
        <f>IF(A144=Screening!A98,"OK","CHANGED")</f>
        <v>OK</v>
      </c>
      <c r="E144" s="1"/>
      <c r="F144" s="1">
        <v>97</v>
      </c>
      <c r="G144" s="1">
        <f>SUMIF(Screening!$B$2:$B$236,F144,$H$48:$H$282)</f>
        <v>1</v>
      </c>
      <c r="H144" s="1">
        <f>IF(ISNUMBER(Screening!D98),1,0)</f>
        <v>1</v>
      </c>
    </row>
    <row r="145" spans="1:8" ht="23.1" customHeight="1">
      <c r="A145" s="1">
        <v>98</v>
      </c>
      <c r="B145" s="1" t="str">
        <f>IF(AND(LEN(Screening!B99)=0,LEN(Screening!D99)=0),"",IF(LEN(Screening!B99)=0,"MISSING",IF(OR(NOT(ISNUMBER(Screening!B99)),COUNTIF($F$48:$F$282,Screening!B99)&lt;&gt;1),"INVALID",IF(COUNTIF(Screening!$B$2:$B$236,Screening!B99)&gt;1,"DUPLICATE","OK"))))</f>
        <v>OK</v>
      </c>
      <c r="C145" s="1" t="str">
        <f>IF(AND(LEN(Screening!B99)=0,LEN(Screening!D99)=0),"",IF(AND(B145="OK",ISNUMBER(Screening!D99),Screening!C99="yes",Screening!F99&lt;&gt;"",COUNTIF(Sessions!$A$2:$A$21,Screening!I99)=1,Screening!E99&lt;&gt;"",Screening!G99&lt;&gt;"",Screening!H99=$B$16),"OK","REVIEW"))</f>
        <v>OK</v>
      </c>
      <c r="D145" s="1" t="str">
        <f>IF(A145=Screening!A99,"OK","CHANGED")</f>
        <v>OK</v>
      </c>
      <c r="E145" s="1"/>
      <c r="F145" s="1">
        <v>98</v>
      </c>
      <c r="G145" s="1">
        <f>SUMIF(Screening!$B$2:$B$236,F145,$H$48:$H$282)</f>
        <v>1</v>
      </c>
      <c r="H145" s="1">
        <f>IF(ISNUMBER(Screening!D99),1,0)</f>
        <v>1</v>
      </c>
    </row>
    <row r="146" spans="1:8" ht="23.1" customHeight="1">
      <c r="A146" s="1">
        <v>99</v>
      </c>
      <c r="B146" s="1" t="str">
        <f>IF(AND(LEN(Screening!B100)=0,LEN(Screening!D100)=0),"",IF(LEN(Screening!B100)=0,"MISSING",IF(OR(NOT(ISNUMBER(Screening!B100)),COUNTIF($F$48:$F$282,Screening!B100)&lt;&gt;1),"INVALID",IF(COUNTIF(Screening!$B$2:$B$236,Screening!B100)&gt;1,"DUPLICATE","OK"))))</f>
        <v>OK</v>
      </c>
      <c r="C146" s="1" t="str">
        <f>IF(AND(LEN(Screening!B100)=0,LEN(Screening!D100)=0),"",IF(AND(B146="OK",ISNUMBER(Screening!D100),Screening!C100="yes",Screening!F100&lt;&gt;"",COUNTIF(Sessions!$A$2:$A$21,Screening!I100)=1,Screening!E100&lt;&gt;"",Screening!G100&lt;&gt;"",Screening!H100=$B$16),"OK","REVIEW"))</f>
        <v>OK</v>
      </c>
      <c r="D146" s="1" t="str">
        <f>IF(A146=Screening!A100,"OK","CHANGED")</f>
        <v>OK</v>
      </c>
      <c r="E146" s="1"/>
      <c r="F146" s="1">
        <v>99</v>
      </c>
      <c r="G146" s="1">
        <f>SUMIF(Screening!$B$2:$B$236,F146,$H$48:$H$282)</f>
        <v>1</v>
      </c>
      <c r="H146" s="1">
        <f>IF(ISNUMBER(Screening!D100),1,0)</f>
        <v>1</v>
      </c>
    </row>
    <row r="147" spans="1:8" ht="23.1" customHeight="1">
      <c r="A147" s="1">
        <v>100</v>
      </c>
      <c r="B147" s="1" t="str">
        <f>IF(AND(LEN(Screening!B101)=0,LEN(Screening!D101)=0),"",IF(LEN(Screening!B101)=0,"MISSING",IF(OR(NOT(ISNUMBER(Screening!B101)),COUNTIF($F$48:$F$282,Screening!B101)&lt;&gt;1),"INVALID",IF(COUNTIF(Screening!$B$2:$B$236,Screening!B101)&gt;1,"DUPLICATE","OK"))))</f>
        <v>OK</v>
      </c>
      <c r="C147" s="1" t="str">
        <f>IF(AND(LEN(Screening!B101)=0,LEN(Screening!D101)=0),"",IF(AND(B147="OK",ISNUMBER(Screening!D101),Screening!C101="yes",Screening!F101&lt;&gt;"",COUNTIF(Sessions!$A$2:$A$21,Screening!I101)=1,Screening!E101&lt;&gt;"",Screening!G101&lt;&gt;"",Screening!H101=$B$16),"OK","REVIEW"))</f>
        <v>OK</v>
      </c>
      <c r="D147" s="1" t="str">
        <f>IF(A147=Screening!A101,"OK","CHANGED")</f>
        <v>OK</v>
      </c>
      <c r="E147" s="1"/>
      <c r="F147" s="1">
        <v>100</v>
      </c>
      <c r="G147" s="1">
        <f>SUMIF(Screening!$B$2:$B$236,F147,$H$48:$H$282)</f>
        <v>1</v>
      </c>
      <c r="H147" s="1">
        <f>IF(ISNUMBER(Screening!D101),1,0)</f>
        <v>1</v>
      </c>
    </row>
    <row r="148" spans="1:8" ht="23.1" customHeight="1">
      <c r="A148" s="1">
        <v>101</v>
      </c>
      <c r="B148" s="1" t="str">
        <f>IF(AND(LEN(Screening!B102)=0,LEN(Screening!D102)=0),"",IF(LEN(Screening!B102)=0,"MISSING",IF(OR(NOT(ISNUMBER(Screening!B102)),COUNTIF($F$48:$F$282,Screening!B102)&lt;&gt;1),"INVALID",IF(COUNTIF(Screening!$B$2:$B$236,Screening!B102)&gt;1,"DUPLICATE","OK"))))</f>
        <v>OK</v>
      </c>
      <c r="C148" s="1" t="str">
        <f>IF(AND(LEN(Screening!B102)=0,LEN(Screening!D102)=0),"",IF(AND(B148="OK",ISNUMBER(Screening!D102),Screening!C102="yes",Screening!F102&lt;&gt;"",COUNTIF(Sessions!$A$2:$A$21,Screening!I102)=1,Screening!E102&lt;&gt;"",Screening!G102&lt;&gt;"",Screening!H102=$B$16),"OK","REVIEW"))</f>
        <v>OK</v>
      </c>
      <c r="D148" s="1" t="str">
        <f>IF(A148=Screening!A102,"OK","CHANGED")</f>
        <v>OK</v>
      </c>
      <c r="E148" s="1"/>
      <c r="F148" s="1">
        <v>101</v>
      </c>
      <c r="G148" s="1">
        <f>SUMIF(Screening!$B$2:$B$236,F148,$H$48:$H$282)</f>
        <v>1</v>
      </c>
      <c r="H148" s="1">
        <f>IF(ISNUMBER(Screening!D102),1,0)</f>
        <v>1</v>
      </c>
    </row>
    <row r="149" spans="1:8" ht="23.1" customHeight="1">
      <c r="A149" s="1">
        <v>102</v>
      </c>
      <c r="B149" s="1" t="str">
        <f>IF(AND(LEN(Screening!B103)=0,LEN(Screening!D103)=0),"",IF(LEN(Screening!B103)=0,"MISSING",IF(OR(NOT(ISNUMBER(Screening!B103)),COUNTIF($F$48:$F$282,Screening!B103)&lt;&gt;1),"INVALID",IF(COUNTIF(Screening!$B$2:$B$236,Screening!B103)&gt;1,"DUPLICATE","OK"))))</f>
        <v>OK</v>
      </c>
      <c r="C149" s="1" t="str">
        <f>IF(AND(LEN(Screening!B103)=0,LEN(Screening!D103)=0),"",IF(AND(B149="OK",ISNUMBER(Screening!D103),Screening!C103="yes",Screening!F103&lt;&gt;"",COUNTIF(Sessions!$A$2:$A$21,Screening!I103)=1,Screening!E103&lt;&gt;"",Screening!G103&lt;&gt;"",Screening!H103=$B$16),"OK","REVIEW"))</f>
        <v>OK</v>
      </c>
      <c r="D149" s="1" t="str">
        <f>IF(A149=Screening!A103,"OK","CHANGED")</f>
        <v>OK</v>
      </c>
      <c r="E149" s="1"/>
      <c r="F149" s="1">
        <v>102</v>
      </c>
      <c r="G149" s="1">
        <f>SUMIF(Screening!$B$2:$B$236,F149,$H$48:$H$282)</f>
        <v>1</v>
      </c>
      <c r="H149" s="1">
        <f>IF(ISNUMBER(Screening!D103),1,0)</f>
        <v>1</v>
      </c>
    </row>
    <row r="150" spans="1:8" ht="23.1" customHeight="1">
      <c r="A150" s="1">
        <v>103</v>
      </c>
      <c r="B150" s="1" t="str">
        <f>IF(AND(LEN(Screening!B104)=0,LEN(Screening!D104)=0),"",IF(LEN(Screening!B104)=0,"MISSING",IF(OR(NOT(ISNUMBER(Screening!B104)),COUNTIF($F$48:$F$282,Screening!B104)&lt;&gt;1),"INVALID",IF(COUNTIF(Screening!$B$2:$B$236,Screening!B104)&gt;1,"DUPLICATE","OK"))))</f>
        <v>OK</v>
      </c>
      <c r="C150" s="1" t="str">
        <f>IF(AND(LEN(Screening!B104)=0,LEN(Screening!D104)=0),"",IF(AND(B150="OK",ISNUMBER(Screening!D104),Screening!C104="yes",Screening!F104&lt;&gt;"",COUNTIF(Sessions!$A$2:$A$21,Screening!I104)=1,Screening!E104&lt;&gt;"",Screening!G104&lt;&gt;"",Screening!H104=$B$16),"OK","REVIEW"))</f>
        <v>OK</v>
      </c>
      <c r="D150" s="1" t="str">
        <f>IF(A150=Screening!A104,"OK","CHANGED")</f>
        <v>OK</v>
      </c>
      <c r="E150" s="1"/>
      <c r="F150" s="1">
        <v>103</v>
      </c>
      <c r="G150" s="1">
        <f>SUMIF(Screening!$B$2:$B$236,F150,$H$48:$H$282)</f>
        <v>1</v>
      </c>
      <c r="H150" s="1">
        <f>IF(ISNUMBER(Screening!D104),1,0)</f>
        <v>1</v>
      </c>
    </row>
    <row r="151" spans="1:8" ht="23.1" customHeight="1">
      <c r="A151" s="1">
        <v>104</v>
      </c>
      <c r="B151" s="1" t="str">
        <f>IF(AND(LEN(Screening!B105)=0,LEN(Screening!D105)=0),"",IF(LEN(Screening!B105)=0,"MISSING",IF(OR(NOT(ISNUMBER(Screening!B105)),COUNTIF($F$48:$F$282,Screening!B105)&lt;&gt;1),"INVALID",IF(COUNTIF(Screening!$B$2:$B$236,Screening!B105)&gt;1,"DUPLICATE","OK"))))</f>
        <v>OK</v>
      </c>
      <c r="C151" s="1" t="str">
        <f>IF(AND(LEN(Screening!B105)=0,LEN(Screening!D105)=0),"",IF(AND(B151="OK",ISNUMBER(Screening!D105),Screening!C105="yes",Screening!F105&lt;&gt;"",COUNTIF(Sessions!$A$2:$A$21,Screening!I105)=1,Screening!E105&lt;&gt;"",Screening!G105&lt;&gt;"",Screening!H105=$B$16),"OK","REVIEW"))</f>
        <v>OK</v>
      </c>
      <c r="D151" s="1" t="str">
        <f>IF(A151=Screening!A105,"OK","CHANGED")</f>
        <v>OK</v>
      </c>
      <c r="E151" s="1"/>
      <c r="F151" s="1">
        <v>104</v>
      </c>
      <c r="G151" s="1">
        <f>SUMIF(Screening!$B$2:$B$236,F151,$H$48:$H$282)</f>
        <v>1</v>
      </c>
      <c r="H151" s="1">
        <f>IF(ISNUMBER(Screening!D105),1,0)</f>
        <v>1</v>
      </c>
    </row>
    <row r="152" spans="1:8" ht="23.1" customHeight="1">
      <c r="A152" s="1">
        <v>105</v>
      </c>
      <c r="B152" s="1" t="str">
        <f>IF(AND(LEN(Screening!B106)=0,LEN(Screening!D106)=0),"",IF(LEN(Screening!B106)=0,"MISSING",IF(OR(NOT(ISNUMBER(Screening!B106)),COUNTIF($F$48:$F$282,Screening!B106)&lt;&gt;1),"INVALID",IF(COUNTIF(Screening!$B$2:$B$236,Screening!B106)&gt;1,"DUPLICATE","OK"))))</f>
        <v>OK</v>
      </c>
      <c r="C152" s="1" t="str">
        <f>IF(AND(LEN(Screening!B106)=0,LEN(Screening!D106)=0),"",IF(AND(B152="OK",ISNUMBER(Screening!D106),Screening!C106="yes",Screening!F106&lt;&gt;"",COUNTIF(Sessions!$A$2:$A$21,Screening!I106)=1,Screening!E106&lt;&gt;"",Screening!G106&lt;&gt;"",Screening!H106=$B$16),"OK","REVIEW"))</f>
        <v>OK</v>
      </c>
      <c r="D152" s="1" t="str">
        <f>IF(A152=Screening!A106,"OK","CHANGED")</f>
        <v>OK</v>
      </c>
      <c r="E152" s="1"/>
      <c r="F152" s="1">
        <v>105</v>
      </c>
      <c r="G152" s="1">
        <f>SUMIF(Screening!$B$2:$B$236,F152,$H$48:$H$282)</f>
        <v>1</v>
      </c>
      <c r="H152" s="1">
        <f>IF(ISNUMBER(Screening!D106),1,0)</f>
        <v>1</v>
      </c>
    </row>
    <row r="153" spans="1:8" ht="23.1" customHeight="1">
      <c r="A153" s="1">
        <v>106</v>
      </c>
      <c r="B153" s="1" t="str">
        <f>IF(AND(LEN(Screening!B107)=0,LEN(Screening!D107)=0),"",IF(LEN(Screening!B107)=0,"MISSING",IF(OR(NOT(ISNUMBER(Screening!B107)),COUNTIF($F$48:$F$282,Screening!B107)&lt;&gt;1),"INVALID",IF(COUNTIF(Screening!$B$2:$B$236,Screening!B107)&gt;1,"DUPLICATE","OK"))))</f>
        <v>OK</v>
      </c>
      <c r="C153" s="1" t="str">
        <f>IF(AND(LEN(Screening!B107)=0,LEN(Screening!D107)=0),"",IF(AND(B153="OK",ISNUMBER(Screening!D107),Screening!C107="yes",Screening!F107&lt;&gt;"",COUNTIF(Sessions!$A$2:$A$21,Screening!I107)=1,Screening!E107&lt;&gt;"",Screening!G107&lt;&gt;"",Screening!H107=$B$16),"OK","REVIEW"))</f>
        <v>OK</v>
      </c>
      <c r="D153" s="1" t="str">
        <f>IF(A153=Screening!A107,"OK","CHANGED")</f>
        <v>OK</v>
      </c>
      <c r="E153" s="1"/>
      <c r="F153" s="1">
        <v>106</v>
      </c>
      <c r="G153" s="1">
        <f>SUMIF(Screening!$B$2:$B$236,F153,$H$48:$H$282)</f>
        <v>1</v>
      </c>
      <c r="H153" s="1">
        <f>IF(ISNUMBER(Screening!D107),1,0)</f>
        <v>1</v>
      </c>
    </row>
    <row r="154" spans="1:8" ht="23.1" customHeight="1">
      <c r="A154" s="1">
        <v>107</v>
      </c>
      <c r="B154" s="1" t="str">
        <f>IF(AND(LEN(Screening!B108)=0,LEN(Screening!D108)=0),"",IF(LEN(Screening!B108)=0,"MISSING",IF(OR(NOT(ISNUMBER(Screening!B108)),COUNTIF($F$48:$F$282,Screening!B108)&lt;&gt;1),"INVALID",IF(COUNTIF(Screening!$B$2:$B$236,Screening!B108)&gt;1,"DUPLICATE","OK"))))</f>
        <v>OK</v>
      </c>
      <c r="C154" s="1" t="str">
        <f>IF(AND(LEN(Screening!B108)=0,LEN(Screening!D108)=0),"",IF(AND(B154="OK",ISNUMBER(Screening!D108),Screening!C108="yes",Screening!F108&lt;&gt;"",COUNTIF(Sessions!$A$2:$A$21,Screening!I108)=1,Screening!E108&lt;&gt;"",Screening!G108&lt;&gt;"",Screening!H108=$B$16),"OK","REVIEW"))</f>
        <v>OK</v>
      </c>
      <c r="D154" s="1" t="str">
        <f>IF(A154=Screening!A108,"OK","CHANGED")</f>
        <v>OK</v>
      </c>
      <c r="E154" s="1"/>
      <c r="F154" s="1">
        <v>107</v>
      </c>
      <c r="G154" s="1">
        <f>SUMIF(Screening!$B$2:$B$236,F154,$H$48:$H$282)</f>
        <v>1</v>
      </c>
      <c r="H154" s="1">
        <f>IF(ISNUMBER(Screening!D108),1,0)</f>
        <v>1</v>
      </c>
    </row>
    <row r="155" spans="1:8" ht="23.1" customHeight="1">
      <c r="A155" s="1">
        <v>108</v>
      </c>
      <c r="B155" s="1" t="str">
        <f>IF(AND(LEN(Screening!B109)=0,LEN(Screening!D109)=0),"",IF(LEN(Screening!B109)=0,"MISSING",IF(OR(NOT(ISNUMBER(Screening!B109)),COUNTIF($F$48:$F$282,Screening!B109)&lt;&gt;1),"INVALID",IF(COUNTIF(Screening!$B$2:$B$236,Screening!B109)&gt;1,"DUPLICATE","OK"))))</f>
        <v>OK</v>
      </c>
      <c r="C155" s="1" t="str">
        <f>IF(AND(LEN(Screening!B109)=0,LEN(Screening!D109)=0),"",IF(AND(B155="OK",ISNUMBER(Screening!D109),Screening!C109="yes",Screening!F109&lt;&gt;"",COUNTIF(Sessions!$A$2:$A$21,Screening!I109)=1,Screening!E109&lt;&gt;"",Screening!G109&lt;&gt;"",Screening!H109=$B$16),"OK","REVIEW"))</f>
        <v>OK</v>
      </c>
      <c r="D155" s="1" t="str">
        <f>IF(A155=Screening!A109,"OK","CHANGED")</f>
        <v>OK</v>
      </c>
      <c r="E155" s="1"/>
      <c r="F155" s="1">
        <v>108</v>
      </c>
      <c r="G155" s="1">
        <f>SUMIF(Screening!$B$2:$B$236,F155,$H$48:$H$282)</f>
        <v>1</v>
      </c>
      <c r="H155" s="1">
        <f>IF(ISNUMBER(Screening!D109),1,0)</f>
        <v>1</v>
      </c>
    </row>
    <row r="156" spans="1:8" ht="23.1" customHeight="1">
      <c r="A156" s="1">
        <v>109</v>
      </c>
      <c r="B156" s="1" t="str">
        <f>IF(AND(LEN(Screening!B110)=0,LEN(Screening!D110)=0),"",IF(LEN(Screening!B110)=0,"MISSING",IF(OR(NOT(ISNUMBER(Screening!B110)),COUNTIF($F$48:$F$282,Screening!B110)&lt;&gt;1),"INVALID",IF(COUNTIF(Screening!$B$2:$B$236,Screening!B110)&gt;1,"DUPLICATE","OK"))))</f>
        <v>OK</v>
      </c>
      <c r="C156" s="1" t="str">
        <f>IF(AND(LEN(Screening!B110)=0,LEN(Screening!D110)=0),"",IF(AND(B156="OK",ISNUMBER(Screening!D110),Screening!C110="yes",Screening!F110&lt;&gt;"",COUNTIF(Sessions!$A$2:$A$21,Screening!I110)=1,Screening!E110&lt;&gt;"",Screening!G110&lt;&gt;"",Screening!H110=$B$16),"OK","REVIEW"))</f>
        <v>OK</v>
      </c>
      <c r="D156" s="1" t="str">
        <f>IF(A156=Screening!A110,"OK","CHANGED")</f>
        <v>OK</v>
      </c>
      <c r="E156" s="1"/>
      <c r="F156" s="1">
        <v>109</v>
      </c>
      <c r="G156" s="1">
        <f>SUMIF(Screening!$B$2:$B$236,F156,$H$48:$H$282)</f>
        <v>1</v>
      </c>
      <c r="H156" s="1">
        <f>IF(ISNUMBER(Screening!D110),1,0)</f>
        <v>1</v>
      </c>
    </row>
    <row r="157" spans="1:8" ht="23.1" customHeight="1">
      <c r="A157" s="1">
        <v>110</v>
      </c>
      <c r="B157" s="1" t="str">
        <f>IF(AND(LEN(Screening!B111)=0,LEN(Screening!D111)=0),"",IF(LEN(Screening!B111)=0,"MISSING",IF(OR(NOT(ISNUMBER(Screening!B111)),COUNTIF($F$48:$F$282,Screening!B111)&lt;&gt;1),"INVALID",IF(COUNTIF(Screening!$B$2:$B$236,Screening!B111)&gt;1,"DUPLICATE","OK"))))</f>
        <v>OK</v>
      </c>
      <c r="C157" s="1" t="str">
        <f>IF(AND(LEN(Screening!B111)=0,LEN(Screening!D111)=0),"",IF(AND(B157="OK",ISNUMBER(Screening!D111),Screening!C111="yes",Screening!F111&lt;&gt;"",COUNTIF(Sessions!$A$2:$A$21,Screening!I111)=1,Screening!E111&lt;&gt;"",Screening!G111&lt;&gt;"",Screening!H111=$B$16),"OK","REVIEW"))</f>
        <v>OK</v>
      </c>
      <c r="D157" s="1" t="str">
        <f>IF(A157=Screening!A111,"OK","CHANGED")</f>
        <v>OK</v>
      </c>
      <c r="E157" s="1"/>
      <c r="F157" s="1">
        <v>110</v>
      </c>
      <c r="G157" s="1">
        <f>SUMIF(Screening!$B$2:$B$236,F157,$H$48:$H$282)</f>
        <v>1</v>
      </c>
      <c r="H157" s="1">
        <f>IF(ISNUMBER(Screening!D111),1,0)</f>
        <v>1</v>
      </c>
    </row>
    <row r="158" spans="1:8" ht="23.1" customHeight="1">
      <c r="A158" s="1">
        <v>111</v>
      </c>
      <c r="B158" s="1" t="str">
        <f>IF(AND(LEN(Screening!B112)=0,LEN(Screening!D112)=0),"",IF(LEN(Screening!B112)=0,"MISSING",IF(OR(NOT(ISNUMBER(Screening!B112)),COUNTIF($F$48:$F$282,Screening!B112)&lt;&gt;1),"INVALID",IF(COUNTIF(Screening!$B$2:$B$236,Screening!B112)&gt;1,"DUPLICATE","OK"))))</f>
        <v>OK</v>
      </c>
      <c r="C158" s="1" t="str">
        <f>IF(AND(LEN(Screening!B112)=0,LEN(Screening!D112)=0),"",IF(AND(B158="OK",ISNUMBER(Screening!D112),Screening!C112="yes",Screening!F112&lt;&gt;"",COUNTIF(Sessions!$A$2:$A$21,Screening!I112)=1,Screening!E112&lt;&gt;"",Screening!G112&lt;&gt;"",Screening!H112=$B$16),"OK","REVIEW"))</f>
        <v>OK</v>
      </c>
      <c r="D158" s="1" t="str">
        <f>IF(A158=Screening!A112,"OK","CHANGED")</f>
        <v>OK</v>
      </c>
      <c r="E158" s="1"/>
      <c r="F158" s="1">
        <v>111</v>
      </c>
      <c r="G158" s="1">
        <f>SUMIF(Screening!$B$2:$B$236,F158,$H$48:$H$282)</f>
        <v>1</v>
      </c>
      <c r="H158" s="1">
        <f>IF(ISNUMBER(Screening!D112),1,0)</f>
        <v>1</v>
      </c>
    </row>
    <row r="159" spans="1:8" ht="23.1" customHeight="1">
      <c r="A159" s="1">
        <v>112</v>
      </c>
      <c r="B159" s="1" t="str">
        <f>IF(AND(LEN(Screening!B113)=0,LEN(Screening!D113)=0),"",IF(LEN(Screening!B113)=0,"MISSING",IF(OR(NOT(ISNUMBER(Screening!B113)),COUNTIF($F$48:$F$282,Screening!B113)&lt;&gt;1),"INVALID",IF(COUNTIF(Screening!$B$2:$B$236,Screening!B113)&gt;1,"DUPLICATE","OK"))))</f>
        <v>OK</v>
      </c>
      <c r="C159" s="1" t="str">
        <f>IF(AND(LEN(Screening!B113)=0,LEN(Screening!D113)=0),"",IF(AND(B159="OK",ISNUMBER(Screening!D113),Screening!C113="yes",Screening!F113&lt;&gt;"",COUNTIF(Sessions!$A$2:$A$21,Screening!I113)=1,Screening!E113&lt;&gt;"",Screening!G113&lt;&gt;"",Screening!H113=$B$16),"OK","REVIEW"))</f>
        <v>OK</v>
      </c>
      <c r="D159" s="1" t="str">
        <f>IF(A159=Screening!A113,"OK","CHANGED")</f>
        <v>OK</v>
      </c>
      <c r="E159" s="1"/>
      <c r="F159" s="1">
        <v>112</v>
      </c>
      <c r="G159" s="1">
        <f>SUMIF(Screening!$B$2:$B$236,F159,$H$48:$H$282)</f>
        <v>1</v>
      </c>
      <c r="H159" s="1">
        <f>IF(ISNUMBER(Screening!D113),1,0)</f>
        <v>1</v>
      </c>
    </row>
    <row r="160" spans="1:8" ht="23.1" customHeight="1">
      <c r="A160" s="1">
        <v>113</v>
      </c>
      <c r="B160" s="1" t="str">
        <f>IF(AND(LEN(Screening!B114)=0,LEN(Screening!D114)=0),"",IF(LEN(Screening!B114)=0,"MISSING",IF(OR(NOT(ISNUMBER(Screening!B114)),COUNTIF($F$48:$F$282,Screening!B114)&lt;&gt;1),"INVALID",IF(COUNTIF(Screening!$B$2:$B$236,Screening!B114)&gt;1,"DUPLICATE","OK"))))</f>
        <v>OK</v>
      </c>
      <c r="C160" s="1" t="str">
        <f>IF(AND(LEN(Screening!B114)=0,LEN(Screening!D114)=0),"",IF(AND(B160="OK",ISNUMBER(Screening!D114),Screening!C114="yes",Screening!F114&lt;&gt;"",COUNTIF(Sessions!$A$2:$A$21,Screening!I114)=1,Screening!E114&lt;&gt;"",Screening!G114&lt;&gt;"",Screening!H114=$B$16),"OK","REVIEW"))</f>
        <v>OK</v>
      </c>
      <c r="D160" s="1" t="str">
        <f>IF(A160=Screening!A114,"OK","CHANGED")</f>
        <v>OK</v>
      </c>
      <c r="E160" s="1"/>
      <c r="F160" s="1">
        <v>113</v>
      </c>
      <c r="G160" s="1">
        <f>SUMIF(Screening!$B$2:$B$236,F160,$H$48:$H$282)</f>
        <v>1</v>
      </c>
      <c r="H160" s="1">
        <f>IF(ISNUMBER(Screening!D114),1,0)</f>
        <v>1</v>
      </c>
    </row>
    <row r="161" spans="1:8" ht="23.1" customHeight="1">
      <c r="A161" s="1">
        <v>114</v>
      </c>
      <c r="B161" s="1" t="str">
        <f>IF(AND(LEN(Screening!B115)=0,LEN(Screening!D115)=0),"",IF(LEN(Screening!B115)=0,"MISSING",IF(OR(NOT(ISNUMBER(Screening!B115)),COUNTIF($F$48:$F$282,Screening!B115)&lt;&gt;1),"INVALID",IF(COUNTIF(Screening!$B$2:$B$236,Screening!B115)&gt;1,"DUPLICATE","OK"))))</f>
        <v>OK</v>
      </c>
      <c r="C161" s="1" t="str">
        <f>IF(AND(LEN(Screening!B115)=0,LEN(Screening!D115)=0),"",IF(AND(B161="OK",ISNUMBER(Screening!D115),Screening!C115="yes",Screening!F115&lt;&gt;"",COUNTIF(Sessions!$A$2:$A$21,Screening!I115)=1,Screening!E115&lt;&gt;"",Screening!G115&lt;&gt;"",Screening!H115=$B$16),"OK","REVIEW"))</f>
        <v>OK</v>
      </c>
      <c r="D161" s="1" t="str">
        <f>IF(A161=Screening!A115,"OK","CHANGED")</f>
        <v>OK</v>
      </c>
      <c r="E161" s="1"/>
      <c r="F161" s="1">
        <v>114</v>
      </c>
      <c r="G161" s="1">
        <f>SUMIF(Screening!$B$2:$B$236,F161,$H$48:$H$282)</f>
        <v>1</v>
      </c>
      <c r="H161" s="1">
        <f>IF(ISNUMBER(Screening!D115),1,0)</f>
        <v>1</v>
      </c>
    </row>
    <row r="162" spans="1:8" ht="23.1" customHeight="1">
      <c r="A162" s="1">
        <v>115</v>
      </c>
      <c r="B162" s="1" t="str">
        <f>IF(AND(LEN(Screening!B116)=0,LEN(Screening!D116)=0),"",IF(LEN(Screening!B116)=0,"MISSING",IF(OR(NOT(ISNUMBER(Screening!B116)),COUNTIF($F$48:$F$282,Screening!B116)&lt;&gt;1),"INVALID",IF(COUNTIF(Screening!$B$2:$B$236,Screening!B116)&gt;1,"DUPLICATE","OK"))))</f>
        <v>OK</v>
      </c>
      <c r="C162" s="1" t="str">
        <f>IF(AND(LEN(Screening!B116)=0,LEN(Screening!D116)=0),"",IF(AND(B162="OK",ISNUMBER(Screening!D116),Screening!C116="yes",Screening!F116&lt;&gt;"",COUNTIF(Sessions!$A$2:$A$21,Screening!I116)=1,Screening!E116&lt;&gt;"",Screening!G116&lt;&gt;"",Screening!H116=$B$16),"OK","REVIEW"))</f>
        <v>OK</v>
      </c>
      <c r="D162" s="1" t="str">
        <f>IF(A162=Screening!A116,"OK","CHANGED")</f>
        <v>OK</v>
      </c>
      <c r="E162" s="1"/>
      <c r="F162" s="1">
        <v>115</v>
      </c>
      <c r="G162" s="1">
        <f>SUMIF(Screening!$B$2:$B$236,F162,$H$48:$H$282)</f>
        <v>1</v>
      </c>
      <c r="H162" s="1">
        <f>IF(ISNUMBER(Screening!D116),1,0)</f>
        <v>1</v>
      </c>
    </row>
    <row r="163" spans="1:8" ht="23.1" customHeight="1">
      <c r="A163" s="1">
        <v>116</v>
      </c>
      <c r="B163" s="1" t="str">
        <f>IF(AND(LEN(Screening!B117)=0,LEN(Screening!D117)=0),"",IF(LEN(Screening!B117)=0,"MISSING",IF(OR(NOT(ISNUMBER(Screening!B117)),COUNTIF($F$48:$F$282,Screening!B117)&lt;&gt;1),"INVALID",IF(COUNTIF(Screening!$B$2:$B$236,Screening!B117)&gt;1,"DUPLICATE","OK"))))</f>
        <v>OK</v>
      </c>
      <c r="C163" s="1" t="str">
        <f>IF(AND(LEN(Screening!B117)=0,LEN(Screening!D117)=0),"",IF(AND(B163="OK",ISNUMBER(Screening!D117),Screening!C117="yes",Screening!F117&lt;&gt;"",COUNTIF(Sessions!$A$2:$A$21,Screening!I117)=1,Screening!E117&lt;&gt;"",Screening!G117&lt;&gt;"",Screening!H117=$B$16),"OK","REVIEW"))</f>
        <v>OK</v>
      </c>
      <c r="D163" s="1" t="str">
        <f>IF(A163=Screening!A117,"OK","CHANGED")</f>
        <v>OK</v>
      </c>
      <c r="E163" s="1"/>
      <c r="F163" s="1">
        <v>116</v>
      </c>
      <c r="G163" s="1">
        <f>SUMIF(Screening!$B$2:$B$236,F163,$H$48:$H$282)</f>
        <v>1</v>
      </c>
      <c r="H163" s="1">
        <f>IF(ISNUMBER(Screening!D117),1,0)</f>
        <v>1</v>
      </c>
    </row>
    <row r="164" spans="1:8" ht="23.1" customHeight="1">
      <c r="A164" s="1">
        <v>117</v>
      </c>
      <c r="B164" s="1" t="str">
        <f>IF(AND(LEN(Screening!B118)=0,LEN(Screening!D118)=0),"",IF(LEN(Screening!B118)=0,"MISSING",IF(OR(NOT(ISNUMBER(Screening!B118)),COUNTIF($F$48:$F$282,Screening!B118)&lt;&gt;1),"INVALID",IF(COUNTIF(Screening!$B$2:$B$236,Screening!B118)&gt;1,"DUPLICATE","OK"))))</f>
        <v>OK</v>
      </c>
      <c r="C164" s="1" t="str">
        <f>IF(AND(LEN(Screening!B118)=0,LEN(Screening!D118)=0),"",IF(AND(B164="OK",ISNUMBER(Screening!D118),Screening!C118="yes",Screening!F118&lt;&gt;"",COUNTIF(Sessions!$A$2:$A$21,Screening!I118)=1,Screening!E118&lt;&gt;"",Screening!G118&lt;&gt;"",Screening!H118=$B$16),"OK","REVIEW"))</f>
        <v>OK</v>
      </c>
      <c r="D164" s="1" t="str">
        <f>IF(A164=Screening!A118,"OK","CHANGED")</f>
        <v>OK</v>
      </c>
      <c r="E164" s="1"/>
      <c r="F164" s="1">
        <v>117</v>
      </c>
      <c r="G164" s="1">
        <f>SUMIF(Screening!$B$2:$B$236,F164,$H$48:$H$282)</f>
        <v>1</v>
      </c>
      <c r="H164" s="1">
        <f>IF(ISNUMBER(Screening!D118),1,0)</f>
        <v>1</v>
      </c>
    </row>
    <row r="165" spans="1:8" ht="23.1" customHeight="1">
      <c r="A165" s="1">
        <v>118</v>
      </c>
      <c r="B165" s="1" t="str">
        <f>IF(AND(LEN(Screening!B119)=0,LEN(Screening!D119)=0),"",IF(LEN(Screening!B119)=0,"MISSING",IF(OR(NOT(ISNUMBER(Screening!B119)),COUNTIF($F$48:$F$282,Screening!B119)&lt;&gt;1),"INVALID",IF(COUNTIF(Screening!$B$2:$B$236,Screening!B119)&gt;1,"DUPLICATE","OK"))))</f>
        <v>OK</v>
      </c>
      <c r="C165" s="1" t="str">
        <f>IF(AND(LEN(Screening!B119)=0,LEN(Screening!D119)=0),"",IF(AND(B165="OK",ISNUMBER(Screening!D119),Screening!C119="yes",Screening!F119&lt;&gt;"",COUNTIF(Sessions!$A$2:$A$21,Screening!I119)=1,Screening!E119&lt;&gt;"",Screening!G119&lt;&gt;"",Screening!H119=$B$16),"OK","REVIEW"))</f>
        <v>OK</v>
      </c>
      <c r="D165" s="1" t="str">
        <f>IF(A165=Screening!A119,"OK","CHANGED")</f>
        <v>OK</v>
      </c>
      <c r="E165" s="1"/>
      <c r="F165" s="1">
        <v>118</v>
      </c>
      <c r="G165" s="1">
        <f>SUMIF(Screening!$B$2:$B$236,F165,$H$48:$H$282)</f>
        <v>1</v>
      </c>
      <c r="H165" s="1">
        <f>IF(ISNUMBER(Screening!D119),1,0)</f>
        <v>1</v>
      </c>
    </row>
    <row r="166" spans="1:8" ht="23.1" customHeight="1">
      <c r="A166" s="1">
        <v>119</v>
      </c>
      <c r="B166" s="1" t="str">
        <f>IF(AND(LEN(Screening!B120)=0,LEN(Screening!D120)=0),"",IF(LEN(Screening!B120)=0,"MISSING",IF(OR(NOT(ISNUMBER(Screening!B120)),COUNTIF($F$48:$F$282,Screening!B120)&lt;&gt;1),"INVALID",IF(COUNTIF(Screening!$B$2:$B$236,Screening!B120)&gt;1,"DUPLICATE","OK"))))</f>
        <v>OK</v>
      </c>
      <c r="C166" s="1" t="str">
        <f>IF(AND(LEN(Screening!B120)=0,LEN(Screening!D120)=0),"",IF(AND(B166="OK",ISNUMBER(Screening!D120),Screening!C120="yes",Screening!F120&lt;&gt;"",COUNTIF(Sessions!$A$2:$A$21,Screening!I120)=1,Screening!E120&lt;&gt;"",Screening!G120&lt;&gt;"",Screening!H120=$B$16),"OK","REVIEW"))</f>
        <v>OK</v>
      </c>
      <c r="D166" s="1" t="str">
        <f>IF(A166=Screening!A120,"OK","CHANGED")</f>
        <v>OK</v>
      </c>
      <c r="E166" s="1"/>
      <c r="F166" s="1">
        <v>119</v>
      </c>
      <c r="G166" s="1">
        <f>SUMIF(Screening!$B$2:$B$236,F166,$H$48:$H$282)</f>
        <v>1</v>
      </c>
      <c r="H166" s="1">
        <f>IF(ISNUMBER(Screening!D120),1,0)</f>
        <v>1</v>
      </c>
    </row>
    <row r="167" spans="1:8" ht="23.1" customHeight="1">
      <c r="A167" s="1">
        <v>120</v>
      </c>
      <c r="B167" s="1" t="str">
        <f>IF(AND(LEN(Screening!B121)=0,LEN(Screening!D121)=0),"",IF(LEN(Screening!B121)=0,"MISSING",IF(OR(NOT(ISNUMBER(Screening!B121)),COUNTIF($F$48:$F$282,Screening!B121)&lt;&gt;1),"INVALID",IF(COUNTIF(Screening!$B$2:$B$236,Screening!B121)&gt;1,"DUPLICATE","OK"))))</f>
        <v>OK</v>
      </c>
      <c r="C167" s="1" t="str">
        <f>IF(AND(LEN(Screening!B121)=0,LEN(Screening!D121)=0),"",IF(AND(B167="OK",ISNUMBER(Screening!D121),Screening!C121="yes",Screening!F121&lt;&gt;"",COUNTIF(Sessions!$A$2:$A$21,Screening!I121)=1,Screening!E121&lt;&gt;"",Screening!G121&lt;&gt;"",Screening!H121=$B$16),"OK","REVIEW"))</f>
        <v>OK</v>
      </c>
      <c r="D167" s="1" t="str">
        <f>IF(A167=Screening!A121,"OK","CHANGED")</f>
        <v>OK</v>
      </c>
      <c r="E167" s="1"/>
      <c r="F167" s="1">
        <v>120</v>
      </c>
      <c r="G167" s="1">
        <f>SUMIF(Screening!$B$2:$B$236,F167,$H$48:$H$282)</f>
        <v>1</v>
      </c>
      <c r="H167" s="1">
        <f>IF(ISNUMBER(Screening!D121),1,0)</f>
        <v>1</v>
      </c>
    </row>
    <row r="168" spans="1:8" ht="23.1" customHeight="1">
      <c r="A168" s="1">
        <v>121</v>
      </c>
      <c r="B168" s="1" t="str">
        <f>IF(AND(LEN(Screening!B122)=0,LEN(Screening!D122)=0),"",IF(LEN(Screening!B122)=0,"MISSING",IF(OR(NOT(ISNUMBER(Screening!B122)),COUNTIF($F$48:$F$282,Screening!B122)&lt;&gt;1),"INVALID",IF(COUNTIF(Screening!$B$2:$B$236,Screening!B122)&gt;1,"DUPLICATE","OK"))))</f>
        <v>OK</v>
      </c>
      <c r="C168" s="1" t="str">
        <f>IF(AND(LEN(Screening!B122)=0,LEN(Screening!D122)=0),"",IF(AND(B168="OK",ISNUMBER(Screening!D122),Screening!C122="yes",Screening!F122&lt;&gt;"",COUNTIF(Sessions!$A$2:$A$21,Screening!I122)=1,Screening!E122&lt;&gt;"",Screening!G122&lt;&gt;"",Screening!H122=$B$16),"OK","REVIEW"))</f>
        <v>OK</v>
      </c>
      <c r="D168" s="1" t="str">
        <f>IF(A168=Screening!A122,"OK","CHANGED")</f>
        <v>OK</v>
      </c>
      <c r="E168" s="1"/>
      <c r="F168" s="1">
        <v>121</v>
      </c>
      <c r="G168" s="1">
        <f>SUMIF(Screening!$B$2:$B$236,F168,$H$48:$H$282)</f>
        <v>1</v>
      </c>
      <c r="H168" s="1">
        <f>IF(ISNUMBER(Screening!D122),1,0)</f>
        <v>1</v>
      </c>
    </row>
    <row r="169" spans="1:8" ht="23.1" customHeight="1">
      <c r="A169" s="1">
        <v>122</v>
      </c>
      <c r="B169" s="1" t="str">
        <f>IF(AND(LEN(Screening!B123)=0,LEN(Screening!D123)=0),"",IF(LEN(Screening!B123)=0,"MISSING",IF(OR(NOT(ISNUMBER(Screening!B123)),COUNTIF($F$48:$F$282,Screening!B123)&lt;&gt;1),"INVALID",IF(COUNTIF(Screening!$B$2:$B$236,Screening!B123)&gt;1,"DUPLICATE","OK"))))</f>
        <v>OK</v>
      </c>
      <c r="C169" s="1" t="str">
        <f>IF(AND(LEN(Screening!B123)=0,LEN(Screening!D123)=0),"",IF(AND(B169="OK",ISNUMBER(Screening!D123),Screening!C123="yes",Screening!F123&lt;&gt;"",COUNTIF(Sessions!$A$2:$A$21,Screening!I123)=1,Screening!E123&lt;&gt;"",Screening!G123&lt;&gt;"",Screening!H123=$B$16),"OK","REVIEW"))</f>
        <v>OK</v>
      </c>
      <c r="D169" s="1" t="str">
        <f>IF(A169=Screening!A123,"OK","CHANGED")</f>
        <v>OK</v>
      </c>
      <c r="E169" s="1"/>
      <c r="F169" s="1">
        <v>122</v>
      </c>
      <c r="G169" s="1">
        <f>SUMIF(Screening!$B$2:$B$236,F169,$H$48:$H$282)</f>
        <v>1</v>
      </c>
      <c r="H169" s="1">
        <f>IF(ISNUMBER(Screening!D123),1,0)</f>
        <v>1</v>
      </c>
    </row>
    <row r="170" spans="1:8" ht="23.1" customHeight="1">
      <c r="A170" s="1">
        <v>123</v>
      </c>
      <c r="B170" s="1" t="str">
        <f>IF(AND(LEN(Screening!B124)=0,LEN(Screening!D124)=0),"",IF(LEN(Screening!B124)=0,"MISSING",IF(OR(NOT(ISNUMBER(Screening!B124)),COUNTIF($F$48:$F$282,Screening!B124)&lt;&gt;1),"INVALID",IF(COUNTIF(Screening!$B$2:$B$236,Screening!B124)&gt;1,"DUPLICATE","OK"))))</f>
        <v>OK</v>
      </c>
      <c r="C170" s="1" t="str">
        <f>IF(AND(LEN(Screening!B124)=0,LEN(Screening!D124)=0),"",IF(AND(B170="OK",ISNUMBER(Screening!D124),Screening!C124="yes",Screening!F124&lt;&gt;"",COUNTIF(Sessions!$A$2:$A$21,Screening!I124)=1,Screening!E124&lt;&gt;"",Screening!G124&lt;&gt;"",Screening!H124=$B$16),"OK","REVIEW"))</f>
        <v>OK</v>
      </c>
      <c r="D170" s="1" t="str">
        <f>IF(A170=Screening!A124,"OK","CHANGED")</f>
        <v>OK</v>
      </c>
      <c r="E170" s="1"/>
      <c r="F170" s="1">
        <v>123</v>
      </c>
      <c r="G170" s="1">
        <f>SUMIF(Screening!$B$2:$B$236,F170,$H$48:$H$282)</f>
        <v>1</v>
      </c>
      <c r="H170" s="1">
        <f>IF(ISNUMBER(Screening!D124),1,0)</f>
        <v>1</v>
      </c>
    </row>
    <row r="171" spans="1:8" ht="23.1" customHeight="1">
      <c r="A171" s="1">
        <v>124</v>
      </c>
      <c r="B171" s="1" t="str">
        <f>IF(AND(LEN(Screening!B125)=0,LEN(Screening!D125)=0),"",IF(LEN(Screening!B125)=0,"MISSING",IF(OR(NOT(ISNUMBER(Screening!B125)),COUNTIF($F$48:$F$282,Screening!B125)&lt;&gt;1),"INVALID",IF(COUNTIF(Screening!$B$2:$B$236,Screening!B125)&gt;1,"DUPLICATE","OK"))))</f>
        <v>OK</v>
      </c>
      <c r="C171" s="1" t="str">
        <f>IF(AND(LEN(Screening!B125)=0,LEN(Screening!D125)=0),"",IF(AND(B171="OK",ISNUMBER(Screening!D125),Screening!C125="yes",Screening!F125&lt;&gt;"",COUNTIF(Sessions!$A$2:$A$21,Screening!I125)=1,Screening!E125&lt;&gt;"",Screening!G125&lt;&gt;"",Screening!H125=$B$16),"OK","REVIEW"))</f>
        <v>OK</v>
      </c>
      <c r="D171" s="1" t="str">
        <f>IF(A171=Screening!A125,"OK","CHANGED")</f>
        <v>OK</v>
      </c>
      <c r="E171" s="1"/>
      <c r="F171" s="1">
        <v>124</v>
      </c>
      <c r="G171" s="1">
        <f>SUMIF(Screening!$B$2:$B$236,F171,$H$48:$H$282)</f>
        <v>1</v>
      </c>
      <c r="H171" s="1">
        <f>IF(ISNUMBER(Screening!D125),1,0)</f>
        <v>1</v>
      </c>
    </row>
    <row r="172" spans="1:8" ht="23.1" customHeight="1">
      <c r="A172" s="1">
        <v>125</v>
      </c>
      <c r="B172" s="1" t="str">
        <f>IF(AND(LEN(Screening!B126)=0,LEN(Screening!D126)=0),"",IF(LEN(Screening!B126)=0,"MISSING",IF(OR(NOT(ISNUMBER(Screening!B126)),COUNTIF($F$48:$F$282,Screening!B126)&lt;&gt;1),"INVALID",IF(COUNTIF(Screening!$B$2:$B$236,Screening!B126)&gt;1,"DUPLICATE","OK"))))</f>
        <v>OK</v>
      </c>
      <c r="C172" s="1" t="str">
        <f>IF(AND(LEN(Screening!B126)=0,LEN(Screening!D126)=0),"",IF(AND(B172="OK",ISNUMBER(Screening!D126),Screening!C126="yes",Screening!F126&lt;&gt;"",COUNTIF(Sessions!$A$2:$A$21,Screening!I126)=1,Screening!E126&lt;&gt;"",Screening!G126&lt;&gt;"",Screening!H126=$B$16),"OK","REVIEW"))</f>
        <v>OK</v>
      </c>
      <c r="D172" s="1" t="str">
        <f>IF(A172=Screening!A126,"OK","CHANGED")</f>
        <v>OK</v>
      </c>
      <c r="E172" s="1"/>
      <c r="F172" s="1">
        <v>125</v>
      </c>
      <c r="G172" s="1">
        <f>SUMIF(Screening!$B$2:$B$236,F172,$H$48:$H$282)</f>
        <v>1</v>
      </c>
      <c r="H172" s="1">
        <f>IF(ISNUMBER(Screening!D126),1,0)</f>
        <v>1</v>
      </c>
    </row>
    <row r="173" spans="1:8" ht="23.1" customHeight="1">
      <c r="A173" s="1">
        <v>126</v>
      </c>
      <c r="B173" s="1" t="str">
        <f>IF(AND(LEN(Screening!B127)=0,LEN(Screening!D127)=0),"",IF(LEN(Screening!B127)=0,"MISSING",IF(OR(NOT(ISNUMBER(Screening!B127)),COUNTIF($F$48:$F$282,Screening!B127)&lt;&gt;1),"INVALID",IF(COUNTIF(Screening!$B$2:$B$236,Screening!B127)&gt;1,"DUPLICATE","OK"))))</f>
        <v>OK</v>
      </c>
      <c r="C173" s="1" t="str">
        <f>IF(AND(LEN(Screening!B127)=0,LEN(Screening!D127)=0),"",IF(AND(B173="OK",ISNUMBER(Screening!D127),Screening!C127="yes",Screening!F127&lt;&gt;"",COUNTIF(Sessions!$A$2:$A$21,Screening!I127)=1,Screening!E127&lt;&gt;"",Screening!G127&lt;&gt;"",Screening!H127=$B$16),"OK","REVIEW"))</f>
        <v>OK</v>
      </c>
      <c r="D173" s="1" t="str">
        <f>IF(A173=Screening!A127,"OK","CHANGED")</f>
        <v>OK</v>
      </c>
      <c r="E173" s="1"/>
      <c r="F173" s="1">
        <v>126</v>
      </c>
      <c r="G173" s="1">
        <f>SUMIF(Screening!$B$2:$B$236,F173,$H$48:$H$282)</f>
        <v>1</v>
      </c>
      <c r="H173" s="1">
        <f>IF(ISNUMBER(Screening!D127),1,0)</f>
        <v>1</v>
      </c>
    </row>
    <row r="174" spans="1:8" ht="23.1" customHeight="1">
      <c r="A174" s="1">
        <v>127</v>
      </c>
      <c r="B174" s="1" t="str">
        <f>IF(AND(LEN(Screening!B128)=0,LEN(Screening!D128)=0),"",IF(LEN(Screening!B128)=0,"MISSING",IF(OR(NOT(ISNUMBER(Screening!B128)),COUNTIF($F$48:$F$282,Screening!B128)&lt;&gt;1),"INVALID",IF(COUNTIF(Screening!$B$2:$B$236,Screening!B128)&gt;1,"DUPLICATE","OK"))))</f>
        <v>OK</v>
      </c>
      <c r="C174" s="1" t="str">
        <f>IF(AND(LEN(Screening!B128)=0,LEN(Screening!D128)=0),"",IF(AND(B174="OK",ISNUMBER(Screening!D128),Screening!C128="yes",Screening!F128&lt;&gt;"",COUNTIF(Sessions!$A$2:$A$21,Screening!I128)=1,Screening!E128&lt;&gt;"",Screening!G128&lt;&gt;"",Screening!H128=$B$16),"OK","REVIEW"))</f>
        <v>OK</v>
      </c>
      <c r="D174" s="1" t="str">
        <f>IF(A174=Screening!A128,"OK","CHANGED")</f>
        <v>OK</v>
      </c>
      <c r="E174" s="1"/>
      <c r="F174" s="1">
        <v>127</v>
      </c>
      <c r="G174" s="1">
        <f>SUMIF(Screening!$B$2:$B$236,F174,$H$48:$H$282)</f>
        <v>1</v>
      </c>
      <c r="H174" s="1">
        <f>IF(ISNUMBER(Screening!D128),1,0)</f>
        <v>1</v>
      </c>
    </row>
    <row r="175" spans="1:8" ht="23.1" customHeight="1">
      <c r="A175" s="1">
        <v>128</v>
      </c>
      <c r="B175" s="1" t="str">
        <f>IF(AND(LEN(Screening!B129)=0,LEN(Screening!D129)=0),"",IF(LEN(Screening!B129)=0,"MISSING",IF(OR(NOT(ISNUMBER(Screening!B129)),COUNTIF($F$48:$F$282,Screening!B129)&lt;&gt;1),"INVALID",IF(COUNTIF(Screening!$B$2:$B$236,Screening!B129)&gt;1,"DUPLICATE","OK"))))</f>
        <v>OK</v>
      </c>
      <c r="C175" s="1" t="str">
        <f>IF(AND(LEN(Screening!B129)=0,LEN(Screening!D129)=0),"",IF(AND(B175="OK",ISNUMBER(Screening!D129),Screening!C129="yes",Screening!F129&lt;&gt;"",COUNTIF(Sessions!$A$2:$A$21,Screening!I129)=1,Screening!E129&lt;&gt;"",Screening!G129&lt;&gt;"",Screening!H129=$B$16),"OK","REVIEW"))</f>
        <v>OK</v>
      </c>
      <c r="D175" s="1" t="str">
        <f>IF(A175=Screening!A129,"OK","CHANGED")</f>
        <v>OK</v>
      </c>
      <c r="E175" s="1"/>
      <c r="F175" s="1">
        <v>128</v>
      </c>
      <c r="G175" s="1">
        <f>SUMIF(Screening!$B$2:$B$236,F175,$H$48:$H$282)</f>
        <v>1</v>
      </c>
      <c r="H175" s="1">
        <f>IF(ISNUMBER(Screening!D129),1,0)</f>
        <v>1</v>
      </c>
    </row>
    <row r="176" spans="1:8" ht="23.1" customHeight="1">
      <c r="A176" s="1">
        <v>129</v>
      </c>
      <c r="B176" s="1" t="str">
        <f>IF(AND(LEN(Screening!B130)=0,LEN(Screening!D130)=0),"",IF(LEN(Screening!B130)=0,"MISSING",IF(OR(NOT(ISNUMBER(Screening!B130)),COUNTIF($F$48:$F$282,Screening!B130)&lt;&gt;1),"INVALID",IF(COUNTIF(Screening!$B$2:$B$236,Screening!B130)&gt;1,"DUPLICATE","OK"))))</f>
        <v>OK</v>
      </c>
      <c r="C176" s="1" t="str">
        <f>IF(AND(LEN(Screening!B130)=0,LEN(Screening!D130)=0),"",IF(AND(B176="OK",ISNUMBER(Screening!D130),Screening!C130="yes",Screening!F130&lt;&gt;"",COUNTIF(Sessions!$A$2:$A$21,Screening!I130)=1,Screening!E130&lt;&gt;"",Screening!G130&lt;&gt;"",Screening!H130=$B$16),"OK","REVIEW"))</f>
        <v>OK</v>
      </c>
      <c r="D176" s="1" t="str">
        <f>IF(A176=Screening!A130,"OK","CHANGED")</f>
        <v>OK</v>
      </c>
      <c r="E176" s="1"/>
      <c r="F176" s="1">
        <v>129</v>
      </c>
      <c r="G176" s="1">
        <f>SUMIF(Screening!$B$2:$B$236,F176,$H$48:$H$282)</f>
        <v>1</v>
      </c>
      <c r="H176" s="1">
        <f>IF(ISNUMBER(Screening!D130),1,0)</f>
        <v>1</v>
      </c>
    </row>
    <row r="177" spans="1:8" ht="23.1" customHeight="1">
      <c r="A177" s="1">
        <v>130</v>
      </c>
      <c r="B177" s="1" t="str">
        <f>IF(AND(LEN(Screening!B131)=0,LEN(Screening!D131)=0),"",IF(LEN(Screening!B131)=0,"MISSING",IF(OR(NOT(ISNUMBER(Screening!B131)),COUNTIF($F$48:$F$282,Screening!B131)&lt;&gt;1),"INVALID",IF(COUNTIF(Screening!$B$2:$B$236,Screening!B131)&gt;1,"DUPLICATE","OK"))))</f>
        <v>OK</v>
      </c>
      <c r="C177" s="1" t="str">
        <f>IF(AND(LEN(Screening!B131)=0,LEN(Screening!D131)=0),"",IF(AND(B177="OK",ISNUMBER(Screening!D131),Screening!C131="yes",Screening!F131&lt;&gt;"",COUNTIF(Sessions!$A$2:$A$21,Screening!I131)=1,Screening!E131&lt;&gt;"",Screening!G131&lt;&gt;"",Screening!H131=$B$16),"OK","REVIEW"))</f>
        <v>OK</v>
      </c>
      <c r="D177" s="1" t="str">
        <f>IF(A177=Screening!A131,"OK","CHANGED")</f>
        <v>OK</v>
      </c>
      <c r="E177" s="1"/>
      <c r="F177" s="1">
        <v>130</v>
      </c>
      <c r="G177" s="1">
        <f>SUMIF(Screening!$B$2:$B$236,F177,$H$48:$H$282)</f>
        <v>1</v>
      </c>
      <c r="H177" s="1">
        <f>IF(ISNUMBER(Screening!D131),1,0)</f>
        <v>1</v>
      </c>
    </row>
    <row r="178" spans="1:8" ht="23.1" customHeight="1">
      <c r="A178" s="1">
        <v>131</v>
      </c>
      <c r="B178" s="1" t="str">
        <f>IF(AND(LEN(Screening!B132)=0,LEN(Screening!D132)=0),"",IF(LEN(Screening!B132)=0,"MISSING",IF(OR(NOT(ISNUMBER(Screening!B132)),COUNTIF($F$48:$F$282,Screening!B132)&lt;&gt;1),"INVALID",IF(COUNTIF(Screening!$B$2:$B$236,Screening!B132)&gt;1,"DUPLICATE","OK"))))</f>
        <v>OK</v>
      </c>
      <c r="C178" s="1" t="str">
        <f>IF(AND(LEN(Screening!B132)=0,LEN(Screening!D132)=0),"",IF(AND(B178="OK",ISNUMBER(Screening!D132),Screening!C132="yes",Screening!F132&lt;&gt;"",COUNTIF(Sessions!$A$2:$A$21,Screening!I132)=1,Screening!E132&lt;&gt;"",Screening!G132&lt;&gt;"",Screening!H132=$B$16),"OK","REVIEW"))</f>
        <v>OK</v>
      </c>
      <c r="D178" s="1" t="str">
        <f>IF(A178=Screening!A132,"OK","CHANGED")</f>
        <v>OK</v>
      </c>
      <c r="E178" s="1"/>
      <c r="F178" s="1">
        <v>131</v>
      </c>
      <c r="G178" s="1">
        <f>SUMIF(Screening!$B$2:$B$236,F178,$H$48:$H$282)</f>
        <v>1</v>
      </c>
      <c r="H178" s="1">
        <f>IF(ISNUMBER(Screening!D132),1,0)</f>
        <v>1</v>
      </c>
    </row>
    <row r="179" spans="1:8" ht="23.1" customHeight="1">
      <c r="A179" s="1">
        <v>132</v>
      </c>
      <c r="B179" s="1" t="str">
        <f>IF(AND(LEN(Screening!B133)=0,LEN(Screening!D133)=0),"",IF(LEN(Screening!B133)=0,"MISSING",IF(OR(NOT(ISNUMBER(Screening!B133)),COUNTIF($F$48:$F$282,Screening!B133)&lt;&gt;1),"INVALID",IF(COUNTIF(Screening!$B$2:$B$236,Screening!B133)&gt;1,"DUPLICATE","OK"))))</f>
        <v>OK</v>
      </c>
      <c r="C179" s="1" t="str">
        <f>IF(AND(LEN(Screening!B133)=0,LEN(Screening!D133)=0),"",IF(AND(B179="OK",ISNUMBER(Screening!D133),Screening!C133="yes",Screening!F133&lt;&gt;"",COUNTIF(Sessions!$A$2:$A$21,Screening!I133)=1,Screening!E133&lt;&gt;"",Screening!G133&lt;&gt;"",Screening!H133=$B$16),"OK","REVIEW"))</f>
        <v>OK</v>
      </c>
      <c r="D179" s="1" t="str">
        <f>IF(A179=Screening!A133,"OK","CHANGED")</f>
        <v>OK</v>
      </c>
      <c r="E179" s="1"/>
      <c r="F179" s="1">
        <v>132</v>
      </c>
      <c r="G179" s="1">
        <f>SUMIF(Screening!$B$2:$B$236,F179,$H$48:$H$282)</f>
        <v>1</v>
      </c>
      <c r="H179" s="1">
        <f>IF(ISNUMBER(Screening!D133),1,0)</f>
        <v>1</v>
      </c>
    </row>
    <row r="180" spans="1:8" ht="23.1" customHeight="1">
      <c r="A180" s="1">
        <v>133</v>
      </c>
      <c r="B180" s="1" t="str">
        <f>IF(AND(LEN(Screening!B134)=0,LEN(Screening!D134)=0),"",IF(LEN(Screening!B134)=0,"MISSING",IF(OR(NOT(ISNUMBER(Screening!B134)),COUNTIF($F$48:$F$282,Screening!B134)&lt;&gt;1),"INVALID",IF(COUNTIF(Screening!$B$2:$B$236,Screening!B134)&gt;1,"DUPLICATE","OK"))))</f>
        <v>OK</v>
      </c>
      <c r="C180" s="1" t="str">
        <f>IF(AND(LEN(Screening!B134)=0,LEN(Screening!D134)=0),"",IF(AND(B180="OK",ISNUMBER(Screening!D134),Screening!C134="yes",Screening!F134&lt;&gt;"",COUNTIF(Sessions!$A$2:$A$21,Screening!I134)=1,Screening!E134&lt;&gt;"",Screening!G134&lt;&gt;"",Screening!H134=$B$16),"OK","REVIEW"))</f>
        <v>OK</v>
      </c>
      <c r="D180" s="1" t="str">
        <f>IF(A180=Screening!A134,"OK","CHANGED")</f>
        <v>OK</v>
      </c>
      <c r="E180" s="1"/>
      <c r="F180" s="1">
        <v>133</v>
      </c>
      <c r="G180" s="1">
        <f>SUMIF(Screening!$B$2:$B$236,F180,$H$48:$H$282)</f>
        <v>1</v>
      </c>
      <c r="H180" s="1">
        <f>IF(ISNUMBER(Screening!D134),1,0)</f>
        <v>1</v>
      </c>
    </row>
    <row r="181" spans="1:8" ht="23.1" customHeight="1">
      <c r="A181" s="1">
        <v>134</v>
      </c>
      <c r="B181" s="1" t="str">
        <f>IF(AND(LEN(Screening!B135)=0,LEN(Screening!D135)=0),"",IF(LEN(Screening!B135)=0,"MISSING",IF(OR(NOT(ISNUMBER(Screening!B135)),COUNTIF($F$48:$F$282,Screening!B135)&lt;&gt;1),"INVALID",IF(COUNTIF(Screening!$B$2:$B$236,Screening!B135)&gt;1,"DUPLICATE","OK"))))</f>
        <v>OK</v>
      </c>
      <c r="C181" s="1" t="str">
        <f>IF(AND(LEN(Screening!B135)=0,LEN(Screening!D135)=0),"",IF(AND(B181="OK",ISNUMBER(Screening!D135),Screening!C135="yes",Screening!F135&lt;&gt;"",COUNTIF(Sessions!$A$2:$A$21,Screening!I135)=1,Screening!E135&lt;&gt;"",Screening!G135&lt;&gt;"",Screening!H135=$B$16),"OK","REVIEW"))</f>
        <v>OK</v>
      </c>
      <c r="D181" s="1" t="str">
        <f>IF(A181=Screening!A135,"OK","CHANGED")</f>
        <v>OK</v>
      </c>
      <c r="E181" s="1"/>
      <c r="F181" s="1">
        <v>134</v>
      </c>
      <c r="G181" s="1">
        <f>SUMIF(Screening!$B$2:$B$236,F181,$H$48:$H$282)</f>
        <v>1</v>
      </c>
      <c r="H181" s="1">
        <f>IF(ISNUMBER(Screening!D135),1,0)</f>
        <v>1</v>
      </c>
    </row>
    <row r="182" spans="1:8" ht="23.1" customHeight="1">
      <c r="A182" s="1">
        <v>135</v>
      </c>
      <c r="B182" s="1" t="str">
        <f>IF(AND(LEN(Screening!B136)=0,LEN(Screening!D136)=0),"",IF(LEN(Screening!B136)=0,"MISSING",IF(OR(NOT(ISNUMBER(Screening!B136)),COUNTIF($F$48:$F$282,Screening!B136)&lt;&gt;1),"INVALID",IF(COUNTIF(Screening!$B$2:$B$236,Screening!B136)&gt;1,"DUPLICATE","OK"))))</f>
        <v>OK</v>
      </c>
      <c r="C182" s="1" t="str">
        <f>IF(AND(LEN(Screening!B136)=0,LEN(Screening!D136)=0),"",IF(AND(B182="OK",ISNUMBER(Screening!D136),Screening!C136="yes",Screening!F136&lt;&gt;"",COUNTIF(Sessions!$A$2:$A$21,Screening!I136)=1,Screening!E136&lt;&gt;"",Screening!G136&lt;&gt;"",Screening!H136=$B$16),"OK","REVIEW"))</f>
        <v>OK</v>
      </c>
      <c r="D182" s="1" t="str">
        <f>IF(A182=Screening!A136,"OK","CHANGED")</f>
        <v>OK</v>
      </c>
      <c r="E182" s="1"/>
      <c r="F182" s="1">
        <v>135</v>
      </c>
      <c r="G182" s="1">
        <f>SUMIF(Screening!$B$2:$B$236,F182,$H$48:$H$282)</f>
        <v>1</v>
      </c>
      <c r="H182" s="1">
        <f>IF(ISNUMBER(Screening!D136),1,0)</f>
        <v>1</v>
      </c>
    </row>
    <row r="183" spans="1:8" ht="23.1" customHeight="1">
      <c r="A183" s="1">
        <v>136</v>
      </c>
      <c r="B183" s="1" t="str">
        <f>IF(AND(LEN(Screening!B137)=0,LEN(Screening!D137)=0),"",IF(LEN(Screening!B137)=0,"MISSING",IF(OR(NOT(ISNUMBER(Screening!B137)),COUNTIF($F$48:$F$282,Screening!B137)&lt;&gt;1),"INVALID",IF(COUNTIF(Screening!$B$2:$B$236,Screening!B137)&gt;1,"DUPLICATE","OK"))))</f>
        <v>OK</v>
      </c>
      <c r="C183" s="1" t="str">
        <f>IF(AND(LEN(Screening!B137)=0,LEN(Screening!D137)=0),"",IF(AND(B183="OK",ISNUMBER(Screening!D137),Screening!C137="yes",Screening!F137&lt;&gt;"",COUNTIF(Sessions!$A$2:$A$21,Screening!I137)=1,Screening!E137&lt;&gt;"",Screening!G137&lt;&gt;"",Screening!H137=$B$16),"OK","REVIEW"))</f>
        <v>OK</v>
      </c>
      <c r="D183" s="1" t="str">
        <f>IF(A183=Screening!A137,"OK","CHANGED")</f>
        <v>OK</v>
      </c>
      <c r="E183" s="1"/>
      <c r="F183" s="1">
        <v>136</v>
      </c>
      <c r="G183" s="1">
        <f>SUMIF(Screening!$B$2:$B$236,F183,$H$48:$H$282)</f>
        <v>1</v>
      </c>
      <c r="H183" s="1">
        <f>IF(ISNUMBER(Screening!D137),1,0)</f>
        <v>1</v>
      </c>
    </row>
    <row r="184" spans="1:8" ht="23.1" customHeight="1">
      <c r="A184" s="1">
        <v>137</v>
      </c>
      <c r="B184" s="1" t="str">
        <f>IF(AND(LEN(Screening!B138)=0,LEN(Screening!D138)=0),"",IF(LEN(Screening!B138)=0,"MISSING",IF(OR(NOT(ISNUMBER(Screening!B138)),COUNTIF($F$48:$F$282,Screening!B138)&lt;&gt;1),"INVALID",IF(COUNTIF(Screening!$B$2:$B$236,Screening!B138)&gt;1,"DUPLICATE","OK"))))</f>
        <v>OK</v>
      </c>
      <c r="C184" s="1" t="str">
        <f>IF(AND(LEN(Screening!B138)=0,LEN(Screening!D138)=0),"",IF(AND(B184="OK",ISNUMBER(Screening!D138),Screening!C138="yes",Screening!F138&lt;&gt;"",COUNTIF(Sessions!$A$2:$A$21,Screening!I138)=1,Screening!E138&lt;&gt;"",Screening!G138&lt;&gt;"",Screening!H138=$B$16),"OK","REVIEW"))</f>
        <v>OK</v>
      </c>
      <c r="D184" s="1" t="str">
        <f>IF(A184=Screening!A138,"OK","CHANGED")</f>
        <v>OK</v>
      </c>
      <c r="E184" s="1"/>
      <c r="F184" s="1">
        <v>137</v>
      </c>
      <c r="G184" s="1">
        <f>SUMIF(Screening!$B$2:$B$236,F184,$H$48:$H$282)</f>
        <v>1</v>
      </c>
      <c r="H184" s="1">
        <f>IF(ISNUMBER(Screening!D138),1,0)</f>
        <v>1</v>
      </c>
    </row>
    <row r="185" spans="1:8" ht="23.1" customHeight="1">
      <c r="A185" s="1">
        <v>138</v>
      </c>
      <c r="B185" s="1" t="str">
        <f>IF(AND(LEN(Screening!B139)=0,LEN(Screening!D139)=0),"",IF(LEN(Screening!B139)=0,"MISSING",IF(OR(NOT(ISNUMBER(Screening!B139)),COUNTIF($F$48:$F$282,Screening!B139)&lt;&gt;1),"INVALID",IF(COUNTIF(Screening!$B$2:$B$236,Screening!B139)&gt;1,"DUPLICATE","OK"))))</f>
        <v>OK</v>
      </c>
      <c r="C185" s="1" t="str">
        <f>IF(AND(LEN(Screening!B139)=0,LEN(Screening!D139)=0),"",IF(AND(B185="OK",ISNUMBER(Screening!D139),Screening!C139="yes",Screening!F139&lt;&gt;"",COUNTIF(Sessions!$A$2:$A$21,Screening!I139)=1,Screening!E139&lt;&gt;"",Screening!G139&lt;&gt;"",Screening!H139=$B$16),"OK","REVIEW"))</f>
        <v>OK</v>
      </c>
      <c r="D185" s="1" t="str">
        <f>IF(A185=Screening!A139,"OK","CHANGED")</f>
        <v>OK</v>
      </c>
      <c r="E185" s="1"/>
      <c r="F185" s="1">
        <v>138</v>
      </c>
      <c r="G185" s="1">
        <f>SUMIF(Screening!$B$2:$B$236,F185,$H$48:$H$282)</f>
        <v>1</v>
      </c>
      <c r="H185" s="1">
        <f>IF(ISNUMBER(Screening!D139),1,0)</f>
        <v>1</v>
      </c>
    </row>
    <row r="186" spans="1:8" ht="23.1" customHeight="1">
      <c r="A186" s="1">
        <v>139</v>
      </c>
      <c r="B186" s="1" t="str">
        <f>IF(AND(LEN(Screening!B140)=0,LEN(Screening!D140)=0),"",IF(LEN(Screening!B140)=0,"MISSING",IF(OR(NOT(ISNUMBER(Screening!B140)),COUNTIF($F$48:$F$282,Screening!B140)&lt;&gt;1),"INVALID",IF(COUNTIF(Screening!$B$2:$B$236,Screening!B140)&gt;1,"DUPLICATE","OK"))))</f>
        <v>OK</v>
      </c>
      <c r="C186" s="1" t="str">
        <f>IF(AND(LEN(Screening!B140)=0,LEN(Screening!D140)=0),"",IF(AND(B186="OK",ISNUMBER(Screening!D140),Screening!C140="yes",Screening!F140&lt;&gt;"",COUNTIF(Sessions!$A$2:$A$21,Screening!I140)=1,Screening!E140&lt;&gt;"",Screening!G140&lt;&gt;"",Screening!H140=$B$16),"OK","REVIEW"))</f>
        <v>OK</v>
      </c>
      <c r="D186" s="1" t="str">
        <f>IF(A186=Screening!A140,"OK","CHANGED")</f>
        <v>OK</v>
      </c>
      <c r="E186" s="1"/>
      <c r="F186" s="1">
        <v>139</v>
      </c>
      <c r="G186" s="1">
        <f>SUMIF(Screening!$B$2:$B$236,F186,$H$48:$H$282)</f>
        <v>1</v>
      </c>
      <c r="H186" s="1">
        <f>IF(ISNUMBER(Screening!D140),1,0)</f>
        <v>1</v>
      </c>
    </row>
    <row r="187" spans="1:8" ht="23.1" customHeight="1">
      <c r="A187" s="1">
        <v>140</v>
      </c>
      <c r="B187" s="1" t="str">
        <f>IF(AND(LEN(Screening!B141)=0,LEN(Screening!D141)=0),"",IF(LEN(Screening!B141)=0,"MISSING",IF(OR(NOT(ISNUMBER(Screening!B141)),COUNTIF($F$48:$F$282,Screening!B141)&lt;&gt;1),"INVALID",IF(COUNTIF(Screening!$B$2:$B$236,Screening!B141)&gt;1,"DUPLICATE","OK"))))</f>
        <v>OK</v>
      </c>
      <c r="C187" s="1" t="str">
        <f>IF(AND(LEN(Screening!B141)=0,LEN(Screening!D141)=0),"",IF(AND(B187="OK",ISNUMBER(Screening!D141),Screening!C141="yes",Screening!F141&lt;&gt;"",COUNTIF(Sessions!$A$2:$A$21,Screening!I141)=1,Screening!E141&lt;&gt;"",Screening!G141&lt;&gt;"",Screening!H141=$B$16),"OK","REVIEW"))</f>
        <v>OK</v>
      </c>
      <c r="D187" s="1" t="str">
        <f>IF(A187=Screening!A141,"OK","CHANGED")</f>
        <v>OK</v>
      </c>
      <c r="E187" s="1"/>
      <c r="F187" s="1">
        <v>140</v>
      </c>
      <c r="G187" s="1">
        <f>SUMIF(Screening!$B$2:$B$236,F187,$H$48:$H$282)</f>
        <v>1</v>
      </c>
      <c r="H187" s="1">
        <f>IF(ISNUMBER(Screening!D141),1,0)</f>
        <v>1</v>
      </c>
    </row>
    <row r="188" spans="1:8" ht="23.1" customHeight="1">
      <c r="A188" s="1">
        <v>141</v>
      </c>
      <c r="B188" s="1" t="str">
        <f>IF(AND(LEN(Screening!B142)=0,LEN(Screening!D142)=0),"",IF(LEN(Screening!B142)=0,"MISSING",IF(OR(NOT(ISNUMBER(Screening!B142)),COUNTIF($F$48:$F$282,Screening!B142)&lt;&gt;1),"INVALID",IF(COUNTIF(Screening!$B$2:$B$236,Screening!B142)&gt;1,"DUPLICATE","OK"))))</f>
        <v>OK</v>
      </c>
      <c r="C188" s="1" t="str">
        <f>IF(AND(LEN(Screening!B142)=0,LEN(Screening!D142)=0),"",IF(AND(B188="OK",ISNUMBER(Screening!D142),Screening!C142="yes",Screening!F142&lt;&gt;"",COUNTIF(Sessions!$A$2:$A$21,Screening!I142)=1,Screening!E142&lt;&gt;"",Screening!G142&lt;&gt;"",Screening!H142=$B$16),"OK","REVIEW"))</f>
        <v>OK</v>
      </c>
      <c r="D188" s="1" t="str">
        <f>IF(A188=Screening!A142,"OK","CHANGED")</f>
        <v>OK</v>
      </c>
      <c r="E188" s="1"/>
      <c r="F188" s="1">
        <v>141</v>
      </c>
      <c r="G188" s="1">
        <f>SUMIF(Screening!$B$2:$B$236,F188,$H$48:$H$282)</f>
        <v>1</v>
      </c>
      <c r="H188" s="1">
        <f>IF(ISNUMBER(Screening!D142),1,0)</f>
        <v>1</v>
      </c>
    </row>
    <row r="189" spans="1:8" ht="23.1" customHeight="1">
      <c r="A189" s="1">
        <v>142</v>
      </c>
      <c r="B189" s="1" t="str">
        <f>IF(AND(LEN(Screening!B143)=0,LEN(Screening!D143)=0),"",IF(LEN(Screening!B143)=0,"MISSING",IF(OR(NOT(ISNUMBER(Screening!B143)),COUNTIF($F$48:$F$282,Screening!B143)&lt;&gt;1),"INVALID",IF(COUNTIF(Screening!$B$2:$B$236,Screening!B143)&gt;1,"DUPLICATE","OK"))))</f>
        <v>OK</v>
      </c>
      <c r="C189" s="1" t="str">
        <f>IF(AND(LEN(Screening!B143)=0,LEN(Screening!D143)=0),"",IF(AND(B189="OK",ISNUMBER(Screening!D143),Screening!C143="yes",Screening!F143&lt;&gt;"",COUNTIF(Sessions!$A$2:$A$21,Screening!I143)=1,Screening!E143&lt;&gt;"",Screening!G143&lt;&gt;"",Screening!H143=$B$16),"OK","REVIEW"))</f>
        <v>OK</v>
      </c>
      <c r="D189" s="1" t="str">
        <f>IF(A189=Screening!A143,"OK","CHANGED")</f>
        <v>OK</v>
      </c>
      <c r="E189" s="1"/>
      <c r="F189" s="1">
        <v>142</v>
      </c>
      <c r="G189" s="1">
        <f>SUMIF(Screening!$B$2:$B$236,F189,$H$48:$H$282)</f>
        <v>1</v>
      </c>
      <c r="H189" s="1">
        <f>IF(ISNUMBER(Screening!D143),1,0)</f>
        <v>1</v>
      </c>
    </row>
    <row r="190" spans="1:8" ht="23.1" customHeight="1">
      <c r="A190" s="1">
        <v>143</v>
      </c>
      <c r="B190" s="1" t="str">
        <f>IF(AND(LEN(Screening!B144)=0,LEN(Screening!D144)=0),"",IF(LEN(Screening!B144)=0,"MISSING",IF(OR(NOT(ISNUMBER(Screening!B144)),COUNTIF($F$48:$F$282,Screening!B144)&lt;&gt;1),"INVALID",IF(COUNTIF(Screening!$B$2:$B$236,Screening!B144)&gt;1,"DUPLICATE","OK"))))</f>
        <v>OK</v>
      </c>
      <c r="C190" s="1" t="str">
        <f>IF(AND(LEN(Screening!B144)=0,LEN(Screening!D144)=0),"",IF(AND(B190="OK",ISNUMBER(Screening!D144),Screening!C144="yes",Screening!F144&lt;&gt;"",COUNTIF(Sessions!$A$2:$A$21,Screening!I144)=1,Screening!E144&lt;&gt;"",Screening!G144&lt;&gt;"",Screening!H144=$B$16),"OK","REVIEW"))</f>
        <v>OK</v>
      </c>
      <c r="D190" s="1" t="str">
        <f>IF(A190=Screening!A144,"OK","CHANGED")</f>
        <v>OK</v>
      </c>
      <c r="E190" s="1"/>
      <c r="F190" s="1">
        <v>143</v>
      </c>
      <c r="G190" s="1">
        <f>SUMIF(Screening!$B$2:$B$236,F190,$H$48:$H$282)</f>
        <v>1</v>
      </c>
      <c r="H190" s="1">
        <f>IF(ISNUMBER(Screening!D144),1,0)</f>
        <v>1</v>
      </c>
    </row>
    <row r="191" spans="1:8" ht="23.1" customHeight="1">
      <c r="A191" s="1">
        <v>144</v>
      </c>
      <c r="B191" s="1" t="str">
        <f>IF(AND(LEN(Screening!B145)=0,LEN(Screening!D145)=0),"",IF(LEN(Screening!B145)=0,"MISSING",IF(OR(NOT(ISNUMBER(Screening!B145)),COUNTIF($F$48:$F$282,Screening!B145)&lt;&gt;1),"INVALID",IF(COUNTIF(Screening!$B$2:$B$236,Screening!B145)&gt;1,"DUPLICATE","OK"))))</f>
        <v>OK</v>
      </c>
      <c r="C191" s="1" t="str">
        <f>IF(AND(LEN(Screening!B145)=0,LEN(Screening!D145)=0),"",IF(AND(B191="OK",ISNUMBER(Screening!D145),Screening!C145="yes",Screening!F145&lt;&gt;"",COUNTIF(Sessions!$A$2:$A$21,Screening!I145)=1,Screening!E145&lt;&gt;"",Screening!G145&lt;&gt;"",Screening!H145=$B$16),"OK","REVIEW"))</f>
        <v>OK</v>
      </c>
      <c r="D191" s="1" t="str">
        <f>IF(A191=Screening!A145,"OK","CHANGED")</f>
        <v>OK</v>
      </c>
      <c r="E191" s="1"/>
      <c r="F191" s="1">
        <v>144</v>
      </c>
      <c r="G191" s="1">
        <f>SUMIF(Screening!$B$2:$B$236,F191,$H$48:$H$282)</f>
        <v>1</v>
      </c>
      <c r="H191" s="1">
        <f>IF(ISNUMBER(Screening!D145),1,0)</f>
        <v>1</v>
      </c>
    </row>
    <row r="192" spans="1:8" ht="23.1" customHeight="1">
      <c r="A192" s="1">
        <v>145</v>
      </c>
      <c r="B192" s="1" t="str">
        <f>IF(AND(LEN(Screening!B146)=0,LEN(Screening!D146)=0),"",IF(LEN(Screening!B146)=0,"MISSING",IF(OR(NOT(ISNUMBER(Screening!B146)),COUNTIF($F$48:$F$282,Screening!B146)&lt;&gt;1),"INVALID",IF(COUNTIF(Screening!$B$2:$B$236,Screening!B146)&gt;1,"DUPLICATE","OK"))))</f>
        <v>OK</v>
      </c>
      <c r="C192" s="1" t="str">
        <f>IF(AND(LEN(Screening!B146)=0,LEN(Screening!D146)=0),"",IF(AND(B192="OK",ISNUMBER(Screening!D146),Screening!C146="yes",Screening!F146&lt;&gt;"",COUNTIF(Sessions!$A$2:$A$21,Screening!I146)=1,Screening!E146&lt;&gt;"",Screening!G146&lt;&gt;"",Screening!H146=$B$16),"OK","REVIEW"))</f>
        <v>OK</v>
      </c>
      <c r="D192" s="1" t="str">
        <f>IF(A192=Screening!A146,"OK","CHANGED")</f>
        <v>OK</v>
      </c>
      <c r="E192" s="1"/>
      <c r="F192" s="1">
        <v>145</v>
      </c>
      <c r="G192" s="1">
        <f>SUMIF(Screening!$B$2:$B$236,F192,$H$48:$H$282)</f>
        <v>1</v>
      </c>
      <c r="H192" s="1">
        <f>IF(ISNUMBER(Screening!D146),1,0)</f>
        <v>1</v>
      </c>
    </row>
    <row r="193" spans="1:8" ht="23.1" customHeight="1">
      <c r="A193" s="1">
        <v>146</v>
      </c>
      <c r="B193" s="1" t="str">
        <f>IF(AND(LEN(Screening!B147)=0,LEN(Screening!D147)=0),"",IF(LEN(Screening!B147)=0,"MISSING",IF(OR(NOT(ISNUMBER(Screening!B147)),COUNTIF($F$48:$F$282,Screening!B147)&lt;&gt;1),"INVALID",IF(COUNTIF(Screening!$B$2:$B$236,Screening!B147)&gt;1,"DUPLICATE","OK"))))</f>
        <v>OK</v>
      </c>
      <c r="C193" s="1" t="str">
        <f>IF(AND(LEN(Screening!B147)=0,LEN(Screening!D147)=0),"",IF(AND(B193="OK",ISNUMBER(Screening!D147),Screening!C147="yes",Screening!F147&lt;&gt;"",COUNTIF(Sessions!$A$2:$A$21,Screening!I147)=1,Screening!E147&lt;&gt;"",Screening!G147&lt;&gt;"",Screening!H147=$B$16),"OK","REVIEW"))</f>
        <v>OK</v>
      </c>
      <c r="D193" s="1" t="str">
        <f>IF(A193=Screening!A147,"OK","CHANGED")</f>
        <v>OK</v>
      </c>
      <c r="E193" s="1"/>
      <c r="F193" s="1">
        <v>146</v>
      </c>
      <c r="G193" s="1">
        <f>SUMIF(Screening!$B$2:$B$236,F193,$H$48:$H$282)</f>
        <v>1</v>
      </c>
      <c r="H193" s="1">
        <f>IF(ISNUMBER(Screening!D147),1,0)</f>
        <v>1</v>
      </c>
    </row>
    <row r="194" spans="1:8" ht="23.1" customHeight="1">
      <c r="A194" s="1">
        <v>147</v>
      </c>
      <c r="B194" s="1" t="str">
        <f>IF(AND(LEN(Screening!B148)=0,LEN(Screening!D148)=0),"",IF(LEN(Screening!B148)=0,"MISSING",IF(OR(NOT(ISNUMBER(Screening!B148)),COUNTIF($F$48:$F$282,Screening!B148)&lt;&gt;1),"INVALID",IF(COUNTIF(Screening!$B$2:$B$236,Screening!B148)&gt;1,"DUPLICATE","OK"))))</f>
        <v>OK</v>
      </c>
      <c r="C194" s="1" t="str">
        <f>IF(AND(LEN(Screening!B148)=0,LEN(Screening!D148)=0),"",IF(AND(B194="OK",ISNUMBER(Screening!D148),Screening!C148="yes",Screening!F148&lt;&gt;"",COUNTIF(Sessions!$A$2:$A$21,Screening!I148)=1,Screening!E148&lt;&gt;"",Screening!G148&lt;&gt;"",Screening!H148=$B$16),"OK","REVIEW"))</f>
        <v>OK</v>
      </c>
      <c r="D194" s="1" t="str">
        <f>IF(A194=Screening!A148,"OK","CHANGED")</f>
        <v>OK</v>
      </c>
      <c r="E194" s="1"/>
      <c r="F194" s="1">
        <v>147</v>
      </c>
      <c r="G194" s="1">
        <f>SUMIF(Screening!$B$2:$B$236,F194,$H$48:$H$282)</f>
        <v>1</v>
      </c>
      <c r="H194" s="1">
        <f>IF(ISNUMBER(Screening!D148),1,0)</f>
        <v>1</v>
      </c>
    </row>
    <row r="195" spans="1:8" ht="23.1" customHeight="1">
      <c r="A195" s="1">
        <v>148</v>
      </c>
      <c r="B195" s="1" t="str">
        <f>IF(AND(LEN(Screening!B149)=0,LEN(Screening!D149)=0),"",IF(LEN(Screening!B149)=0,"MISSING",IF(OR(NOT(ISNUMBER(Screening!B149)),COUNTIF($F$48:$F$282,Screening!B149)&lt;&gt;1),"INVALID",IF(COUNTIF(Screening!$B$2:$B$236,Screening!B149)&gt;1,"DUPLICATE","OK"))))</f>
        <v>OK</v>
      </c>
      <c r="C195" s="1" t="str">
        <f>IF(AND(LEN(Screening!B149)=0,LEN(Screening!D149)=0),"",IF(AND(B195="OK",ISNUMBER(Screening!D149),Screening!C149="yes",Screening!F149&lt;&gt;"",COUNTIF(Sessions!$A$2:$A$21,Screening!I149)=1,Screening!E149&lt;&gt;"",Screening!G149&lt;&gt;"",Screening!H149=$B$16),"OK","REVIEW"))</f>
        <v>OK</v>
      </c>
      <c r="D195" s="1" t="str">
        <f>IF(A195=Screening!A149,"OK","CHANGED")</f>
        <v>OK</v>
      </c>
      <c r="E195" s="1"/>
      <c r="F195" s="1">
        <v>148</v>
      </c>
      <c r="G195" s="1">
        <f>SUMIF(Screening!$B$2:$B$236,F195,$H$48:$H$282)</f>
        <v>1</v>
      </c>
      <c r="H195" s="1">
        <f>IF(ISNUMBER(Screening!D149),1,0)</f>
        <v>1</v>
      </c>
    </row>
    <row r="196" spans="1:8" ht="23.1" customHeight="1">
      <c r="A196" s="1">
        <v>149</v>
      </c>
      <c r="B196" s="1" t="str">
        <f>IF(AND(LEN(Screening!B150)=0,LEN(Screening!D150)=0),"",IF(LEN(Screening!B150)=0,"MISSING",IF(OR(NOT(ISNUMBER(Screening!B150)),COUNTIF($F$48:$F$282,Screening!B150)&lt;&gt;1),"INVALID",IF(COUNTIF(Screening!$B$2:$B$236,Screening!B150)&gt;1,"DUPLICATE","OK"))))</f>
        <v>OK</v>
      </c>
      <c r="C196" s="1" t="str">
        <f>IF(AND(LEN(Screening!B150)=0,LEN(Screening!D150)=0),"",IF(AND(B196="OK",ISNUMBER(Screening!D150),Screening!C150="yes",Screening!F150&lt;&gt;"",COUNTIF(Sessions!$A$2:$A$21,Screening!I150)=1,Screening!E150&lt;&gt;"",Screening!G150&lt;&gt;"",Screening!H150=$B$16),"OK","REVIEW"))</f>
        <v>OK</v>
      </c>
      <c r="D196" s="1" t="str">
        <f>IF(A196=Screening!A150,"OK","CHANGED")</f>
        <v>OK</v>
      </c>
      <c r="E196" s="1"/>
      <c r="F196" s="1">
        <v>149</v>
      </c>
      <c r="G196" s="1">
        <f>SUMIF(Screening!$B$2:$B$236,F196,$H$48:$H$282)</f>
        <v>1</v>
      </c>
      <c r="H196" s="1">
        <f>IF(ISNUMBER(Screening!D150),1,0)</f>
        <v>1</v>
      </c>
    </row>
    <row r="197" spans="1:8" ht="23.1" customHeight="1">
      <c r="A197" s="1">
        <v>150</v>
      </c>
      <c r="B197" s="1" t="str">
        <f>IF(AND(LEN(Screening!B151)=0,LEN(Screening!D151)=0),"",IF(LEN(Screening!B151)=0,"MISSING",IF(OR(NOT(ISNUMBER(Screening!B151)),COUNTIF($F$48:$F$282,Screening!B151)&lt;&gt;1),"INVALID",IF(COUNTIF(Screening!$B$2:$B$236,Screening!B151)&gt;1,"DUPLICATE","OK"))))</f>
        <v>OK</v>
      </c>
      <c r="C197" s="1" t="str">
        <f>IF(AND(LEN(Screening!B151)=0,LEN(Screening!D151)=0),"",IF(AND(B197="OK",ISNUMBER(Screening!D151),Screening!C151="yes",Screening!F151&lt;&gt;"",COUNTIF(Sessions!$A$2:$A$21,Screening!I151)=1,Screening!E151&lt;&gt;"",Screening!G151&lt;&gt;"",Screening!H151=$B$16),"OK","REVIEW"))</f>
        <v>OK</v>
      </c>
      <c r="D197" s="1" t="str">
        <f>IF(A197=Screening!A151,"OK","CHANGED")</f>
        <v>OK</v>
      </c>
      <c r="E197" s="1"/>
      <c r="F197" s="1">
        <v>150</v>
      </c>
      <c r="G197" s="1">
        <f>SUMIF(Screening!$B$2:$B$236,F197,$H$48:$H$282)</f>
        <v>1</v>
      </c>
      <c r="H197" s="1">
        <f>IF(ISNUMBER(Screening!D151),1,0)</f>
        <v>1</v>
      </c>
    </row>
    <row r="198" spans="1:8" ht="23.1" customHeight="1">
      <c r="A198" s="1">
        <v>151</v>
      </c>
      <c r="B198" s="1" t="str">
        <f>IF(AND(LEN(Screening!B152)=0,LEN(Screening!D152)=0),"",IF(LEN(Screening!B152)=0,"MISSING",IF(OR(NOT(ISNUMBER(Screening!B152)),COUNTIF($F$48:$F$282,Screening!B152)&lt;&gt;1),"INVALID",IF(COUNTIF(Screening!$B$2:$B$236,Screening!B152)&gt;1,"DUPLICATE","OK"))))</f>
        <v>OK</v>
      </c>
      <c r="C198" s="1" t="str">
        <f>IF(AND(LEN(Screening!B152)=0,LEN(Screening!D152)=0),"",IF(AND(B198="OK",ISNUMBER(Screening!D152),Screening!C152="yes",Screening!F152&lt;&gt;"",COUNTIF(Sessions!$A$2:$A$21,Screening!I152)=1,Screening!E152&lt;&gt;"",Screening!G152&lt;&gt;"",Screening!H152=$B$16),"OK","REVIEW"))</f>
        <v>OK</v>
      </c>
      <c r="D198" s="1" t="str">
        <f>IF(A198=Screening!A152,"OK","CHANGED")</f>
        <v>OK</v>
      </c>
      <c r="E198" s="1"/>
      <c r="F198" s="1">
        <v>151</v>
      </c>
      <c r="G198" s="1">
        <f>SUMIF(Screening!$B$2:$B$236,F198,$H$48:$H$282)</f>
        <v>1</v>
      </c>
      <c r="H198" s="1">
        <f>IF(ISNUMBER(Screening!D152),1,0)</f>
        <v>1</v>
      </c>
    </row>
    <row r="199" spans="1:8" ht="23.1" customHeight="1">
      <c r="A199" s="1">
        <v>152</v>
      </c>
      <c r="B199" s="1" t="str">
        <f>IF(AND(LEN(Screening!B153)=0,LEN(Screening!D153)=0),"",IF(LEN(Screening!B153)=0,"MISSING",IF(OR(NOT(ISNUMBER(Screening!B153)),COUNTIF($F$48:$F$282,Screening!B153)&lt;&gt;1),"INVALID",IF(COUNTIF(Screening!$B$2:$B$236,Screening!B153)&gt;1,"DUPLICATE","OK"))))</f>
        <v>OK</v>
      </c>
      <c r="C199" s="1" t="str">
        <f>IF(AND(LEN(Screening!B153)=0,LEN(Screening!D153)=0),"",IF(AND(B199="OK",ISNUMBER(Screening!D153),Screening!C153="yes",Screening!F153&lt;&gt;"",COUNTIF(Sessions!$A$2:$A$21,Screening!I153)=1,Screening!E153&lt;&gt;"",Screening!G153&lt;&gt;"",Screening!H153=$B$16),"OK","REVIEW"))</f>
        <v>OK</v>
      </c>
      <c r="D199" s="1" t="str">
        <f>IF(A199=Screening!A153,"OK","CHANGED")</f>
        <v>OK</v>
      </c>
      <c r="E199" s="1"/>
      <c r="F199" s="1">
        <v>152</v>
      </c>
      <c r="G199" s="1">
        <f>SUMIF(Screening!$B$2:$B$236,F199,$H$48:$H$282)</f>
        <v>1</v>
      </c>
      <c r="H199" s="1">
        <f>IF(ISNUMBER(Screening!D153),1,0)</f>
        <v>1</v>
      </c>
    </row>
    <row r="200" spans="1:8" ht="23.1" customHeight="1">
      <c r="A200" s="1">
        <v>153</v>
      </c>
      <c r="B200" s="1" t="str">
        <f>IF(AND(LEN(Screening!B154)=0,LEN(Screening!D154)=0),"",IF(LEN(Screening!B154)=0,"MISSING",IF(OR(NOT(ISNUMBER(Screening!B154)),COUNTIF($F$48:$F$282,Screening!B154)&lt;&gt;1),"INVALID",IF(COUNTIF(Screening!$B$2:$B$236,Screening!B154)&gt;1,"DUPLICATE","OK"))))</f>
        <v>OK</v>
      </c>
      <c r="C200" s="1" t="str">
        <f>IF(AND(LEN(Screening!B154)=0,LEN(Screening!D154)=0),"",IF(AND(B200="OK",ISNUMBER(Screening!D154),Screening!C154="yes",Screening!F154&lt;&gt;"",COUNTIF(Sessions!$A$2:$A$21,Screening!I154)=1,Screening!E154&lt;&gt;"",Screening!G154&lt;&gt;"",Screening!H154=$B$16),"OK","REVIEW"))</f>
        <v>OK</v>
      </c>
      <c r="D200" s="1" t="str">
        <f>IF(A200=Screening!A154,"OK","CHANGED")</f>
        <v>OK</v>
      </c>
      <c r="E200" s="1"/>
      <c r="F200" s="1">
        <v>153</v>
      </c>
      <c r="G200" s="1">
        <f>SUMIF(Screening!$B$2:$B$236,F200,$H$48:$H$282)</f>
        <v>1</v>
      </c>
      <c r="H200" s="1">
        <f>IF(ISNUMBER(Screening!D154),1,0)</f>
        <v>1</v>
      </c>
    </row>
    <row r="201" spans="1:8" ht="23.1" customHeight="1">
      <c r="A201" s="1">
        <v>154</v>
      </c>
      <c r="B201" s="1" t="str">
        <f>IF(AND(LEN(Screening!B155)=0,LEN(Screening!D155)=0),"",IF(LEN(Screening!B155)=0,"MISSING",IF(OR(NOT(ISNUMBER(Screening!B155)),COUNTIF($F$48:$F$282,Screening!B155)&lt;&gt;1),"INVALID",IF(COUNTIF(Screening!$B$2:$B$236,Screening!B155)&gt;1,"DUPLICATE","OK"))))</f>
        <v>OK</v>
      </c>
      <c r="C201" s="1" t="str">
        <f>IF(AND(LEN(Screening!B155)=0,LEN(Screening!D155)=0),"",IF(AND(B201="OK",ISNUMBER(Screening!D155),Screening!C155="yes",Screening!F155&lt;&gt;"",COUNTIF(Sessions!$A$2:$A$21,Screening!I155)=1,Screening!E155&lt;&gt;"",Screening!G155&lt;&gt;"",Screening!H155=$B$16),"OK","REVIEW"))</f>
        <v>OK</v>
      </c>
      <c r="D201" s="1" t="str">
        <f>IF(A201=Screening!A155,"OK","CHANGED")</f>
        <v>OK</v>
      </c>
      <c r="E201" s="1"/>
      <c r="F201" s="1">
        <v>154</v>
      </c>
      <c r="G201" s="1">
        <f>SUMIF(Screening!$B$2:$B$236,F201,$H$48:$H$282)</f>
        <v>1</v>
      </c>
      <c r="H201" s="1">
        <f>IF(ISNUMBER(Screening!D155),1,0)</f>
        <v>1</v>
      </c>
    </row>
    <row r="202" spans="1:8" ht="23.1" customHeight="1">
      <c r="A202" s="1">
        <v>155</v>
      </c>
      <c r="B202" s="1" t="str">
        <f>IF(AND(LEN(Screening!B156)=0,LEN(Screening!D156)=0),"",IF(LEN(Screening!B156)=0,"MISSING",IF(OR(NOT(ISNUMBER(Screening!B156)),COUNTIF($F$48:$F$282,Screening!B156)&lt;&gt;1),"INVALID",IF(COUNTIF(Screening!$B$2:$B$236,Screening!B156)&gt;1,"DUPLICATE","OK"))))</f>
        <v>OK</v>
      </c>
      <c r="C202" s="1" t="str">
        <f>IF(AND(LEN(Screening!B156)=0,LEN(Screening!D156)=0),"",IF(AND(B202="OK",ISNUMBER(Screening!D156),Screening!C156="yes",Screening!F156&lt;&gt;"",COUNTIF(Sessions!$A$2:$A$21,Screening!I156)=1,Screening!E156&lt;&gt;"",Screening!G156&lt;&gt;"",Screening!H156=$B$16),"OK","REVIEW"))</f>
        <v>OK</v>
      </c>
      <c r="D202" s="1" t="str">
        <f>IF(A202=Screening!A156,"OK","CHANGED")</f>
        <v>OK</v>
      </c>
      <c r="E202" s="1"/>
      <c r="F202" s="1">
        <v>155</v>
      </c>
      <c r="G202" s="1">
        <f>SUMIF(Screening!$B$2:$B$236,F202,$H$48:$H$282)</f>
        <v>1</v>
      </c>
      <c r="H202" s="1">
        <f>IF(ISNUMBER(Screening!D156),1,0)</f>
        <v>1</v>
      </c>
    </row>
    <row r="203" spans="1:8" ht="23.1" customHeight="1">
      <c r="A203" s="1">
        <v>156</v>
      </c>
      <c r="B203" s="1" t="str">
        <f>IF(AND(LEN(Screening!B157)=0,LEN(Screening!D157)=0),"",IF(LEN(Screening!B157)=0,"MISSING",IF(OR(NOT(ISNUMBER(Screening!B157)),COUNTIF($F$48:$F$282,Screening!B157)&lt;&gt;1),"INVALID",IF(COUNTIF(Screening!$B$2:$B$236,Screening!B157)&gt;1,"DUPLICATE","OK"))))</f>
        <v>OK</v>
      </c>
      <c r="C203" s="1" t="str">
        <f>IF(AND(LEN(Screening!B157)=0,LEN(Screening!D157)=0),"",IF(AND(B203="OK",ISNUMBER(Screening!D157),Screening!C157="yes",Screening!F157&lt;&gt;"",COUNTIF(Sessions!$A$2:$A$21,Screening!I157)=1,Screening!E157&lt;&gt;"",Screening!G157&lt;&gt;"",Screening!H157=$B$16),"OK","REVIEW"))</f>
        <v>OK</v>
      </c>
      <c r="D203" s="1" t="str">
        <f>IF(A203=Screening!A157,"OK","CHANGED")</f>
        <v>OK</v>
      </c>
      <c r="E203" s="1"/>
      <c r="F203" s="1">
        <v>156</v>
      </c>
      <c r="G203" s="1">
        <f>SUMIF(Screening!$B$2:$B$236,F203,$H$48:$H$282)</f>
        <v>1</v>
      </c>
      <c r="H203" s="1">
        <f>IF(ISNUMBER(Screening!D157),1,0)</f>
        <v>1</v>
      </c>
    </row>
    <row r="204" spans="1:8" ht="23.1" customHeight="1">
      <c r="A204" s="1">
        <v>157</v>
      </c>
      <c r="B204" s="1" t="str">
        <f>IF(AND(LEN(Screening!B158)=0,LEN(Screening!D158)=0),"",IF(LEN(Screening!B158)=0,"MISSING",IF(OR(NOT(ISNUMBER(Screening!B158)),COUNTIF($F$48:$F$282,Screening!B158)&lt;&gt;1),"INVALID",IF(COUNTIF(Screening!$B$2:$B$236,Screening!B158)&gt;1,"DUPLICATE","OK"))))</f>
        <v>OK</v>
      </c>
      <c r="C204" s="1" t="str">
        <f>IF(AND(LEN(Screening!B158)=0,LEN(Screening!D158)=0),"",IF(AND(B204="OK",ISNUMBER(Screening!D158),Screening!C158="yes",Screening!F158&lt;&gt;"",COUNTIF(Sessions!$A$2:$A$21,Screening!I158)=1,Screening!E158&lt;&gt;"",Screening!G158&lt;&gt;"",Screening!H158=$B$16),"OK","REVIEW"))</f>
        <v>OK</v>
      </c>
      <c r="D204" s="1" t="str">
        <f>IF(A204=Screening!A158,"OK","CHANGED")</f>
        <v>OK</v>
      </c>
      <c r="E204" s="1"/>
      <c r="F204" s="1">
        <v>157</v>
      </c>
      <c r="G204" s="1">
        <f>SUMIF(Screening!$B$2:$B$236,F204,$H$48:$H$282)</f>
        <v>1</v>
      </c>
      <c r="H204" s="1">
        <f>IF(ISNUMBER(Screening!D158),1,0)</f>
        <v>1</v>
      </c>
    </row>
    <row r="205" spans="1:8" ht="23.1" customHeight="1">
      <c r="A205" s="1">
        <v>158</v>
      </c>
      <c r="B205" s="1" t="str">
        <f>IF(AND(LEN(Screening!B159)=0,LEN(Screening!D159)=0),"",IF(LEN(Screening!B159)=0,"MISSING",IF(OR(NOT(ISNUMBER(Screening!B159)),COUNTIF($F$48:$F$282,Screening!B159)&lt;&gt;1),"INVALID",IF(COUNTIF(Screening!$B$2:$B$236,Screening!B159)&gt;1,"DUPLICATE","OK"))))</f>
        <v>OK</v>
      </c>
      <c r="C205" s="1" t="str">
        <f>IF(AND(LEN(Screening!B159)=0,LEN(Screening!D159)=0),"",IF(AND(B205="OK",ISNUMBER(Screening!D159),Screening!C159="yes",Screening!F159&lt;&gt;"",COUNTIF(Sessions!$A$2:$A$21,Screening!I159)=1,Screening!E159&lt;&gt;"",Screening!G159&lt;&gt;"",Screening!H159=$B$16),"OK","REVIEW"))</f>
        <v>OK</v>
      </c>
      <c r="D205" s="1" t="str">
        <f>IF(A205=Screening!A159,"OK","CHANGED")</f>
        <v>OK</v>
      </c>
      <c r="E205" s="1"/>
      <c r="F205" s="1">
        <v>158</v>
      </c>
      <c r="G205" s="1">
        <f>SUMIF(Screening!$B$2:$B$236,F205,$H$48:$H$282)</f>
        <v>1</v>
      </c>
      <c r="H205" s="1">
        <f>IF(ISNUMBER(Screening!D159),1,0)</f>
        <v>1</v>
      </c>
    </row>
    <row r="206" spans="1:8" ht="23.1" customHeight="1">
      <c r="A206" s="1">
        <v>159</v>
      </c>
      <c r="B206" s="1" t="str">
        <f>IF(AND(LEN(Screening!B160)=0,LEN(Screening!D160)=0),"",IF(LEN(Screening!B160)=0,"MISSING",IF(OR(NOT(ISNUMBER(Screening!B160)),COUNTIF($F$48:$F$282,Screening!B160)&lt;&gt;1),"INVALID",IF(COUNTIF(Screening!$B$2:$B$236,Screening!B160)&gt;1,"DUPLICATE","OK"))))</f>
        <v>OK</v>
      </c>
      <c r="C206" s="1" t="str">
        <f>IF(AND(LEN(Screening!B160)=0,LEN(Screening!D160)=0),"",IF(AND(B206="OK",ISNUMBER(Screening!D160),Screening!C160="yes",Screening!F160&lt;&gt;"",COUNTIF(Sessions!$A$2:$A$21,Screening!I160)=1,Screening!E160&lt;&gt;"",Screening!G160&lt;&gt;"",Screening!H160=$B$16),"OK","REVIEW"))</f>
        <v>OK</v>
      </c>
      <c r="D206" s="1" t="str">
        <f>IF(A206=Screening!A160,"OK","CHANGED")</f>
        <v>OK</v>
      </c>
      <c r="E206" s="1"/>
      <c r="F206" s="1">
        <v>159</v>
      </c>
      <c r="G206" s="1">
        <f>SUMIF(Screening!$B$2:$B$236,F206,$H$48:$H$282)</f>
        <v>1</v>
      </c>
      <c r="H206" s="1">
        <f>IF(ISNUMBER(Screening!D160),1,0)</f>
        <v>1</v>
      </c>
    </row>
    <row r="207" spans="1:8" ht="23.1" customHeight="1">
      <c r="A207" s="1">
        <v>160</v>
      </c>
      <c r="B207" s="1" t="str">
        <f>IF(AND(LEN(Screening!B161)=0,LEN(Screening!D161)=0),"",IF(LEN(Screening!B161)=0,"MISSING",IF(OR(NOT(ISNUMBER(Screening!B161)),COUNTIF($F$48:$F$282,Screening!B161)&lt;&gt;1),"INVALID",IF(COUNTIF(Screening!$B$2:$B$236,Screening!B161)&gt;1,"DUPLICATE","OK"))))</f>
        <v>OK</v>
      </c>
      <c r="C207" s="1" t="str">
        <f>IF(AND(LEN(Screening!B161)=0,LEN(Screening!D161)=0),"",IF(AND(B207="OK",ISNUMBER(Screening!D161),Screening!C161="yes",Screening!F161&lt;&gt;"",COUNTIF(Sessions!$A$2:$A$21,Screening!I161)=1,Screening!E161&lt;&gt;"",Screening!G161&lt;&gt;"",Screening!H161=$B$16),"OK","REVIEW"))</f>
        <v>OK</v>
      </c>
      <c r="D207" s="1" t="str">
        <f>IF(A207=Screening!A161,"OK","CHANGED")</f>
        <v>OK</v>
      </c>
      <c r="E207" s="1"/>
      <c r="F207" s="1">
        <v>160</v>
      </c>
      <c r="G207" s="1">
        <f>SUMIF(Screening!$B$2:$B$236,F207,$H$48:$H$282)</f>
        <v>1</v>
      </c>
      <c r="H207" s="1">
        <f>IF(ISNUMBER(Screening!D161),1,0)</f>
        <v>1</v>
      </c>
    </row>
    <row r="208" spans="1:8" ht="23.1" customHeight="1">
      <c r="A208" s="1">
        <v>161</v>
      </c>
      <c r="B208" s="1" t="str">
        <f>IF(AND(LEN(Screening!B162)=0,LEN(Screening!D162)=0),"",IF(LEN(Screening!B162)=0,"MISSING",IF(OR(NOT(ISNUMBER(Screening!B162)),COUNTIF($F$48:$F$282,Screening!B162)&lt;&gt;1),"INVALID",IF(COUNTIF(Screening!$B$2:$B$236,Screening!B162)&gt;1,"DUPLICATE","OK"))))</f>
        <v>OK</v>
      </c>
      <c r="C208" s="1" t="str">
        <f>IF(AND(LEN(Screening!B162)=0,LEN(Screening!D162)=0),"",IF(AND(B208="OK",ISNUMBER(Screening!D162),Screening!C162="yes",Screening!F162&lt;&gt;"",COUNTIF(Sessions!$A$2:$A$21,Screening!I162)=1,Screening!E162&lt;&gt;"",Screening!G162&lt;&gt;"",Screening!H162=$B$16),"OK","REVIEW"))</f>
        <v>OK</v>
      </c>
      <c r="D208" s="1" t="str">
        <f>IF(A208=Screening!A162,"OK","CHANGED")</f>
        <v>OK</v>
      </c>
      <c r="E208" s="1"/>
      <c r="F208" s="1">
        <v>161</v>
      </c>
      <c r="G208" s="1">
        <f>SUMIF(Screening!$B$2:$B$236,F208,$H$48:$H$282)</f>
        <v>1</v>
      </c>
      <c r="H208" s="1">
        <f>IF(ISNUMBER(Screening!D162),1,0)</f>
        <v>1</v>
      </c>
    </row>
    <row r="209" spans="1:8" ht="23.1" customHeight="1">
      <c r="A209" s="1">
        <v>162</v>
      </c>
      <c r="B209" s="1" t="str">
        <f>IF(AND(LEN(Screening!B163)=0,LEN(Screening!D163)=0),"",IF(LEN(Screening!B163)=0,"MISSING",IF(OR(NOT(ISNUMBER(Screening!B163)),COUNTIF($F$48:$F$282,Screening!B163)&lt;&gt;1),"INVALID",IF(COUNTIF(Screening!$B$2:$B$236,Screening!B163)&gt;1,"DUPLICATE","OK"))))</f>
        <v>OK</v>
      </c>
      <c r="C209" s="1" t="str">
        <f>IF(AND(LEN(Screening!B163)=0,LEN(Screening!D163)=0),"",IF(AND(B209="OK",ISNUMBER(Screening!D163),Screening!C163="yes",Screening!F163&lt;&gt;"",COUNTIF(Sessions!$A$2:$A$21,Screening!I163)=1,Screening!E163&lt;&gt;"",Screening!G163&lt;&gt;"",Screening!H163=$B$16),"OK","REVIEW"))</f>
        <v>OK</v>
      </c>
      <c r="D209" s="1" t="str">
        <f>IF(A209=Screening!A163,"OK","CHANGED")</f>
        <v>OK</v>
      </c>
      <c r="E209" s="1"/>
      <c r="F209" s="1">
        <v>162</v>
      </c>
      <c r="G209" s="1">
        <f>SUMIF(Screening!$B$2:$B$236,F209,$H$48:$H$282)</f>
        <v>1</v>
      </c>
      <c r="H209" s="1">
        <f>IF(ISNUMBER(Screening!D163),1,0)</f>
        <v>1</v>
      </c>
    </row>
    <row r="210" spans="1:8" ht="23.1" customHeight="1">
      <c r="A210" s="1">
        <v>163</v>
      </c>
      <c r="B210" s="1" t="str">
        <f>IF(AND(LEN(Screening!B164)=0,LEN(Screening!D164)=0),"",IF(LEN(Screening!B164)=0,"MISSING",IF(OR(NOT(ISNUMBER(Screening!B164)),COUNTIF($F$48:$F$282,Screening!B164)&lt;&gt;1),"INVALID",IF(COUNTIF(Screening!$B$2:$B$236,Screening!B164)&gt;1,"DUPLICATE","OK"))))</f>
        <v>OK</v>
      </c>
      <c r="C210" s="1" t="str">
        <f>IF(AND(LEN(Screening!B164)=0,LEN(Screening!D164)=0),"",IF(AND(B210="OK",ISNUMBER(Screening!D164),Screening!C164="yes",Screening!F164&lt;&gt;"",COUNTIF(Sessions!$A$2:$A$21,Screening!I164)=1,Screening!E164&lt;&gt;"",Screening!G164&lt;&gt;"",Screening!H164=$B$16),"OK","REVIEW"))</f>
        <v>OK</v>
      </c>
      <c r="D210" s="1" t="str">
        <f>IF(A210=Screening!A164,"OK","CHANGED")</f>
        <v>OK</v>
      </c>
      <c r="E210" s="1"/>
      <c r="F210" s="1">
        <v>163</v>
      </c>
      <c r="G210" s="1">
        <f>SUMIF(Screening!$B$2:$B$236,F210,$H$48:$H$282)</f>
        <v>1</v>
      </c>
      <c r="H210" s="1">
        <f>IF(ISNUMBER(Screening!D164),1,0)</f>
        <v>1</v>
      </c>
    </row>
    <row r="211" spans="1:8" ht="23.1" customHeight="1">
      <c r="A211" s="1">
        <v>164</v>
      </c>
      <c r="B211" s="1" t="str">
        <f>IF(AND(LEN(Screening!B165)=0,LEN(Screening!D165)=0),"",IF(LEN(Screening!B165)=0,"MISSING",IF(OR(NOT(ISNUMBER(Screening!B165)),COUNTIF($F$48:$F$282,Screening!B165)&lt;&gt;1),"INVALID",IF(COUNTIF(Screening!$B$2:$B$236,Screening!B165)&gt;1,"DUPLICATE","OK"))))</f>
        <v>OK</v>
      </c>
      <c r="C211" s="1" t="str">
        <f>IF(AND(LEN(Screening!B165)=0,LEN(Screening!D165)=0),"",IF(AND(B211="OK",ISNUMBER(Screening!D165),Screening!C165="yes",Screening!F165&lt;&gt;"",COUNTIF(Sessions!$A$2:$A$21,Screening!I165)=1,Screening!E165&lt;&gt;"",Screening!G165&lt;&gt;"",Screening!H165=$B$16),"OK","REVIEW"))</f>
        <v>OK</v>
      </c>
      <c r="D211" s="1" t="str">
        <f>IF(A211=Screening!A165,"OK","CHANGED")</f>
        <v>OK</v>
      </c>
      <c r="E211" s="1"/>
      <c r="F211" s="1">
        <v>164</v>
      </c>
      <c r="G211" s="1">
        <f>SUMIF(Screening!$B$2:$B$236,F211,$H$48:$H$282)</f>
        <v>1</v>
      </c>
      <c r="H211" s="1">
        <f>IF(ISNUMBER(Screening!D165),1,0)</f>
        <v>1</v>
      </c>
    </row>
    <row r="212" spans="1:8" ht="23.1" customHeight="1">
      <c r="A212" s="1">
        <v>165</v>
      </c>
      <c r="B212" s="1" t="str">
        <f>IF(AND(LEN(Screening!B166)=0,LEN(Screening!D166)=0),"",IF(LEN(Screening!B166)=0,"MISSING",IF(OR(NOT(ISNUMBER(Screening!B166)),COUNTIF($F$48:$F$282,Screening!B166)&lt;&gt;1),"INVALID",IF(COUNTIF(Screening!$B$2:$B$236,Screening!B166)&gt;1,"DUPLICATE","OK"))))</f>
        <v>OK</v>
      </c>
      <c r="C212" s="1" t="str">
        <f>IF(AND(LEN(Screening!B166)=0,LEN(Screening!D166)=0),"",IF(AND(B212="OK",ISNUMBER(Screening!D166),Screening!C166="yes",Screening!F166&lt;&gt;"",COUNTIF(Sessions!$A$2:$A$21,Screening!I166)=1,Screening!E166&lt;&gt;"",Screening!G166&lt;&gt;"",Screening!H166=$B$16),"OK","REVIEW"))</f>
        <v>OK</v>
      </c>
      <c r="D212" s="1" t="str">
        <f>IF(A212=Screening!A166,"OK","CHANGED")</f>
        <v>OK</v>
      </c>
      <c r="E212" s="1"/>
      <c r="F212" s="1">
        <v>165</v>
      </c>
      <c r="G212" s="1">
        <f>SUMIF(Screening!$B$2:$B$236,F212,$H$48:$H$282)</f>
        <v>1</v>
      </c>
      <c r="H212" s="1">
        <f>IF(ISNUMBER(Screening!D166),1,0)</f>
        <v>1</v>
      </c>
    </row>
    <row r="213" spans="1:8" ht="23.1" customHeight="1">
      <c r="A213" s="1">
        <v>166</v>
      </c>
      <c r="B213" s="1" t="str">
        <f>IF(AND(LEN(Screening!B167)=0,LEN(Screening!D167)=0),"",IF(LEN(Screening!B167)=0,"MISSING",IF(OR(NOT(ISNUMBER(Screening!B167)),COUNTIF($F$48:$F$282,Screening!B167)&lt;&gt;1),"INVALID",IF(COUNTIF(Screening!$B$2:$B$236,Screening!B167)&gt;1,"DUPLICATE","OK"))))</f>
        <v>OK</v>
      </c>
      <c r="C213" s="1" t="str">
        <f>IF(AND(LEN(Screening!B167)=0,LEN(Screening!D167)=0),"",IF(AND(B213="OK",ISNUMBER(Screening!D167),Screening!C167="yes",Screening!F167&lt;&gt;"",COUNTIF(Sessions!$A$2:$A$21,Screening!I167)=1,Screening!E167&lt;&gt;"",Screening!G167&lt;&gt;"",Screening!H167=$B$16),"OK","REVIEW"))</f>
        <v>OK</v>
      </c>
      <c r="D213" s="1" t="str">
        <f>IF(A213=Screening!A167,"OK","CHANGED")</f>
        <v>OK</v>
      </c>
      <c r="E213" s="1"/>
      <c r="F213" s="1">
        <v>166</v>
      </c>
      <c r="G213" s="1">
        <f>SUMIF(Screening!$B$2:$B$236,F213,$H$48:$H$282)</f>
        <v>1</v>
      </c>
      <c r="H213" s="1">
        <f>IF(ISNUMBER(Screening!D167),1,0)</f>
        <v>1</v>
      </c>
    </row>
    <row r="214" spans="1:8" ht="23.1" customHeight="1">
      <c r="A214" s="1">
        <v>167</v>
      </c>
      <c r="B214" s="1" t="str">
        <f>IF(AND(LEN(Screening!B168)=0,LEN(Screening!D168)=0),"",IF(LEN(Screening!B168)=0,"MISSING",IF(OR(NOT(ISNUMBER(Screening!B168)),COUNTIF($F$48:$F$282,Screening!B168)&lt;&gt;1),"INVALID",IF(COUNTIF(Screening!$B$2:$B$236,Screening!B168)&gt;1,"DUPLICATE","OK"))))</f>
        <v>OK</v>
      </c>
      <c r="C214" s="1" t="str">
        <f>IF(AND(LEN(Screening!B168)=0,LEN(Screening!D168)=0),"",IF(AND(B214="OK",ISNUMBER(Screening!D168),Screening!C168="yes",Screening!F168&lt;&gt;"",COUNTIF(Sessions!$A$2:$A$21,Screening!I168)=1,Screening!E168&lt;&gt;"",Screening!G168&lt;&gt;"",Screening!H168=$B$16),"OK","REVIEW"))</f>
        <v>OK</v>
      </c>
      <c r="D214" s="1" t="str">
        <f>IF(A214=Screening!A168,"OK","CHANGED")</f>
        <v>OK</v>
      </c>
      <c r="E214" s="1"/>
      <c r="F214" s="1">
        <v>167</v>
      </c>
      <c r="G214" s="1">
        <f>SUMIF(Screening!$B$2:$B$236,F214,$H$48:$H$282)</f>
        <v>1</v>
      </c>
      <c r="H214" s="1">
        <f>IF(ISNUMBER(Screening!D168),1,0)</f>
        <v>1</v>
      </c>
    </row>
    <row r="215" spans="1:8" ht="23.1" customHeight="1">
      <c r="A215" s="1">
        <v>168</v>
      </c>
      <c r="B215" s="1" t="str">
        <f>IF(AND(LEN(Screening!B169)=0,LEN(Screening!D169)=0),"",IF(LEN(Screening!B169)=0,"MISSING",IF(OR(NOT(ISNUMBER(Screening!B169)),COUNTIF($F$48:$F$282,Screening!B169)&lt;&gt;1),"INVALID",IF(COUNTIF(Screening!$B$2:$B$236,Screening!B169)&gt;1,"DUPLICATE","OK"))))</f>
        <v>OK</v>
      </c>
      <c r="C215" s="1" t="str">
        <f>IF(AND(LEN(Screening!B169)=0,LEN(Screening!D169)=0),"",IF(AND(B215="OK",ISNUMBER(Screening!D169),Screening!C169="yes",Screening!F169&lt;&gt;"",COUNTIF(Sessions!$A$2:$A$21,Screening!I169)=1,Screening!E169&lt;&gt;"",Screening!G169&lt;&gt;"",Screening!H169=$B$16),"OK","REVIEW"))</f>
        <v>OK</v>
      </c>
      <c r="D215" s="1" t="str">
        <f>IF(A215=Screening!A169,"OK","CHANGED")</f>
        <v>OK</v>
      </c>
      <c r="E215" s="1"/>
      <c r="F215" s="1">
        <v>168</v>
      </c>
      <c r="G215" s="1">
        <f>SUMIF(Screening!$B$2:$B$236,F215,$H$48:$H$282)</f>
        <v>1</v>
      </c>
      <c r="H215" s="1">
        <f>IF(ISNUMBER(Screening!D169),1,0)</f>
        <v>1</v>
      </c>
    </row>
    <row r="216" spans="1:8" ht="23.1" customHeight="1">
      <c r="A216" s="1">
        <v>169</v>
      </c>
      <c r="B216" s="1" t="str">
        <f>IF(AND(LEN(Screening!B170)=0,LEN(Screening!D170)=0),"",IF(LEN(Screening!B170)=0,"MISSING",IF(OR(NOT(ISNUMBER(Screening!B170)),COUNTIF($F$48:$F$282,Screening!B170)&lt;&gt;1),"INVALID",IF(COUNTIF(Screening!$B$2:$B$236,Screening!B170)&gt;1,"DUPLICATE","OK"))))</f>
        <v>OK</v>
      </c>
      <c r="C216" s="1" t="str">
        <f>IF(AND(LEN(Screening!B170)=0,LEN(Screening!D170)=0),"",IF(AND(B216="OK",ISNUMBER(Screening!D170),Screening!C170="yes",Screening!F170&lt;&gt;"",COUNTIF(Sessions!$A$2:$A$21,Screening!I170)=1,Screening!E170&lt;&gt;"",Screening!G170&lt;&gt;"",Screening!H170=$B$16),"OK","REVIEW"))</f>
        <v>OK</v>
      </c>
      <c r="D216" s="1" t="str">
        <f>IF(A216=Screening!A170,"OK","CHANGED")</f>
        <v>OK</v>
      </c>
      <c r="E216" s="1"/>
      <c r="F216" s="1">
        <v>169</v>
      </c>
      <c r="G216" s="1">
        <f>SUMIF(Screening!$B$2:$B$236,F216,$H$48:$H$282)</f>
        <v>1</v>
      </c>
      <c r="H216" s="1">
        <f>IF(ISNUMBER(Screening!D170),1,0)</f>
        <v>1</v>
      </c>
    </row>
    <row r="217" spans="1:8" ht="23.1" customHeight="1">
      <c r="A217" s="1">
        <v>170</v>
      </c>
      <c r="B217" s="1" t="str">
        <f>IF(AND(LEN(Screening!B171)=0,LEN(Screening!D171)=0),"",IF(LEN(Screening!B171)=0,"MISSING",IF(OR(NOT(ISNUMBER(Screening!B171)),COUNTIF($F$48:$F$282,Screening!B171)&lt;&gt;1),"INVALID",IF(COUNTIF(Screening!$B$2:$B$236,Screening!B171)&gt;1,"DUPLICATE","OK"))))</f>
        <v>OK</v>
      </c>
      <c r="C217" s="1" t="str">
        <f>IF(AND(LEN(Screening!B171)=0,LEN(Screening!D171)=0),"",IF(AND(B217="OK",ISNUMBER(Screening!D171),Screening!C171="yes",Screening!F171&lt;&gt;"",COUNTIF(Sessions!$A$2:$A$21,Screening!I171)=1,Screening!E171&lt;&gt;"",Screening!G171&lt;&gt;"",Screening!H171=$B$16),"OK","REVIEW"))</f>
        <v>OK</v>
      </c>
      <c r="D217" s="1" t="str">
        <f>IF(A217=Screening!A171,"OK","CHANGED")</f>
        <v>OK</v>
      </c>
      <c r="E217" s="1"/>
      <c r="F217" s="1">
        <v>170</v>
      </c>
      <c r="G217" s="1">
        <f>SUMIF(Screening!$B$2:$B$236,F217,$H$48:$H$282)</f>
        <v>1</v>
      </c>
      <c r="H217" s="1">
        <f>IF(ISNUMBER(Screening!D171),1,0)</f>
        <v>1</v>
      </c>
    </row>
    <row r="218" spans="1:8" ht="23.1" customHeight="1">
      <c r="A218" s="1">
        <v>171</v>
      </c>
      <c r="B218" s="1" t="str">
        <f>IF(AND(LEN(Screening!B172)=0,LEN(Screening!D172)=0),"",IF(LEN(Screening!B172)=0,"MISSING",IF(OR(NOT(ISNUMBER(Screening!B172)),COUNTIF($F$48:$F$282,Screening!B172)&lt;&gt;1),"INVALID",IF(COUNTIF(Screening!$B$2:$B$236,Screening!B172)&gt;1,"DUPLICATE","OK"))))</f>
        <v>OK</v>
      </c>
      <c r="C218" s="1" t="str">
        <f>IF(AND(LEN(Screening!B172)=0,LEN(Screening!D172)=0),"",IF(AND(B218="OK",ISNUMBER(Screening!D172),Screening!C172="yes",Screening!F172&lt;&gt;"",COUNTIF(Sessions!$A$2:$A$21,Screening!I172)=1,Screening!E172&lt;&gt;"",Screening!G172&lt;&gt;"",Screening!H172=$B$16),"OK","REVIEW"))</f>
        <v>OK</v>
      </c>
      <c r="D218" s="1" t="str">
        <f>IF(A218=Screening!A172,"OK","CHANGED")</f>
        <v>OK</v>
      </c>
      <c r="E218" s="1"/>
      <c r="F218" s="1">
        <v>171</v>
      </c>
      <c r="G218" s="1">
        <f>SUMIF(Screening!$B$2:$B$236,F218,$H$48:$H$282)</f>
        <v>1</v>
      </c>
      <c r="H218" s="1">
        <f>IF(ISNUMBER(Screening!D172),1,0)</f>
        <v>1</v>
      </c>
    </row>
    <row r="219" spans="1:8" ht="23.1" customHeight="1">
      <c r="A219" s="1">
        <v>172</v>
      </c>
      <c r="B219" s="1" t="str">
        <f>IF(AND(LEN(Screening!B173)=0,LEN(Screening!D173)=0),"",IF(LEN(Screening!B173)=0,"MISSING",IF(OR(NOT(ISNUMBER(Screening!B173)),COUNTIF($F$48:$F$282,Screening!B173)&lt;&gt;1),"INVALID",IF(COUNTIF(Screening!$B$2:$B$236,Screening!B173)&gt;1,"DUPLICATE","OK"))))</f>
        <v>OK</v>
      </c>
      <c r="C219" s="1" t="str">
        <f>IF(AND(LEN(Screening!B173)=0,LEN(Screening!D173)=0),"",IF(AND(B219="OK",ISNUMBER(Screening!D173),Screening!C173="yes",Screening!F173&lt;&gt;"",COUNTIF(Sessions!$A$2:$A$21,Screening!I173)=1,Screening!E173&lt;&gt;"",Screening!G173&lt;&gt;"",Screening!H173=$B$16),"OK","REVIEW"))</f>
        <v>OK</v>
      </c>
      <c r="D219" s="1" t="str">
        <f>IF(A219=Screening!A173,"OK","CHANGED")</f>
        <v>OK</v>
      </c>
      <c r="E219" s="1"/>
      <c r="F219" s="1">
        <v>172</v>
      </c>
      <c r="G219" s="1">
        <f>SUMIF(Screening!$B$2:$B$236,F219,$H$48:$H$282)</f>
        <v>1</v>
      </c>
      <c r="H219" s="1">
        <f>IF(ISNUMBER(Screening!D173),1,0)</f>
        <v>1</v>
      </c>
    </row>
    <row r="220" spans="1:8" ht="23.1" customHeight="1">
      <c r="A220" s="1">
        <v>173</v>
      </c>
      <c r="B220" s="1" t="str">
        <f>IF(AND(LEN(Screening!B174)=0,LEN(Screening!D174)=0),"",IF(LEN(Screening!B174)=0,"MISSING",IF(OR(NOT(ISNUMBER(Screening!B174)),COUNTIF($F$48:$F$282,Screening!B174)&lt;&gt;1),"INVALID",IF(COUNTIF(Screening!$B$2:$B$236,Screening!B174)&gt;1,"DUPLICATE","OK"))))</f>
        <v>OK</v>
      </c>
      <c r="C220" s="1" t="str">
        <f>IF(AND(LEN(Screening!B174)=0,LEN(Screening!D174)=0),"",IF(AND(B220="OK",ISNUMBER(Screening!D174),Screening!C174="yes",Screening!F174&lt;&gt;"",COUNTIF(Sessions!$A$2:$A$21,Screening!I174)=1,Screening!E174&lt;&gt;"",Screening!G174&lt;&gt;"",Screening!H174=$B$16),"OK","REVIEW"))</f>
        <v>OK</v>
      </c>
      <c r="D220" s="1" t="str">
        <f>IF(A220=Screening!A174,"OK","CHANGED")</f>
        <v>OK</v>
      </c>
      <c r="E220" s="1"/>
      <c r="F220" s="1">
        <v>173</v>
      </c>
      <c r="G220" s="1">
        <f>SUMIF(Screening!$B$2:$B$236,F220,$H$48:$H$282)</f>
        <v>1</v>
      </c>
      <c r="H220" s="1">
        <f>IF(ISNUMBER(Screening!D174),1,0)</f>
        <v>1</v>
      </c>
    </row>
    <row r="221" spans="1:8" ht="23.1" customHeight="1">
      <c r="A221" s="1">
        <v>174</v>
      </c>
      <c r="B221" s="1" t="str">
        <f>IF(AND(LEN(Screening!B175)=0,LEN(Screening!D175)=0),"",IF(LEN(Screening!B175)=0,"MISSING",IF(OR(NOT(ISNUMBER(Screening!B175)),COUNTIF($F$48:$F$282,Screening!B175)&lt;&gt;1),"INVALID",IF(COUNTIF(Screening!$B$2:$B$236,Screening!B175)&gt;1,"DUPLICATE","OK"))))</f>
        <v>OK</v>
      </c>
      <c r="C221" s="1" t="str">
        <f>IF(AND(LEN(Screening!B175)=0,LEN(Screening!D175)=0),"",IF(AND(B221="OK",ISNUMBER(Screening!D175),Screening!C175="yes",Screening!F175&lt;&gt;"",COUNTIF(Sessions!$A$2:$A$21,Screening!I175)=1,Screening!E175&lt;&gt;"",Screening!G175&lt;&gt;"",Screening!H175=$B$16),"OK","REVIEW"))</f>
        <v>OK</v>
      </c>
      <c r="D221" s="1" t="str">
        <f>IF(A221=Screening!A175,"OK","CHANGED")</f>
        <v>OK</v>
      </c>
      <c r="E221" s="1"/>
      <c r="F221" s="1">
        <v>174</v>
      </c>
      <c r="G221" s="1">
        <f>SUMIF(Screening!$B$2:$B$236,F221,$H$48:$H$282)</f>
        <v>1</v>
      </c>
      <c r="H221" s="1">
        <f>IF(ISNUMBER(Screening!D175),1,0)</f>
        <v>1</v>
      </c>
    </row>
    <row r="222" spans="1:8" ht="23.1" customHeight="1">
      <c r="A222" s="1">
        <v>175</v>
      </c>
      <c r="B222" s="1" t="str">
        <f>IF(AND(LEN(Screening!B176)=0,LEN(Screening!D176)=0),"",IF(LEN(Screening!B176)=0,"MISSING",IF(OR(NOT(ISNUMBER(Screening!B176)),COUNTIF($F$48:$F$282,Screening!B176)&lt;&gt;1),"INVALID",IF(COUNTIF(Screening!$B$2:$B$236,Screening!B176)&gt;1,"DUPLICATE","OK"))))</f>
        <v>OK</v>
      </c>
      <c r="C222" s="1" t="str">
        <f>IF(AND(LEN(Screening!B176)=0,LEN(Screening!D176)=0),"",IF(AND(B222="OK",ISNUMBER(Screening!D176),Screening!C176="yes",Screening!F176&lt;&gt;"",COUNTIF(Sessions!$A$2:$A$21,Screening!I176)=1,Screening!E176&lt;&gt;"",Screening!G176&lt;&gt;"",Screening!H176=$B$16),"OK","REVIEW"))</f>
        <v>OK</v>
      </c>
      <c r="D222" s="1" t="str">
        <f>IF(A222=Screening!A176,"OK","CHANGED")</f>
        <v>OK</v>
      </c>
      <c r="E222" s="1"/>
      <c r="F222" s="1">
        <v>175</v>
      </c>
      <c r="G222" s="1">
        <f>SUMIF(Screening!$B$2:$B$236,F222,$H$48:$H$282)</f>
        <v>1</v>
      </c>
      <c r="H222" s="1">
        <f>IF(ISNUMBER(Screening!D176),1,0)</f>
        <v>1</v>
      </c>
    </row>
    <row r="223" spans="1:8" ht="23.1" customHeight="1">
      <c r="A223" s="1">
        <v>176</v>
      </c>
      <c r="B223" s="1" t="str">
        <f>IF(AND(LEN(Screening!B177)=0,LEN(Screening!D177)=0),"",IF(LEN(Screening!B177)=0,"MISSING",IF(OR(NOT(ISNUMBER(Screening!B177)),COUNTIF($F$48:$F$282,Screening!B177)&lt;&gt;1),"INVALID",IF(COUNTIF(Screening!$B$2:$B$236,Screening!B177)&gt;1,"DUPLICATE","OK"))))</f>
        <v>OK</v>
      </c>
      <c r="C223" s="1" t="str">
        <f>IF(AND(LEN(Screening!B177)=0,LEN(Screening!D177)=0),"",IF(AND(B223="OK",ISNUMBER(Screening!D177),Screening!C177="yes",Screening!F177&lt;&gt;"",COUNTIF(Sessions!$A$2:$A$21,Screening!I177)=1,Screening!E177&lt;&gt;"",Screening!G177&lt;&gt;"",Screening!H177=$B$16),"OK","REVIEW"))</f>
        <v>OK</v>
      </c>
      <c r="D223" s="1" t="str">
        <f>IF(A223=Screening!A177,"OK","CHANGED")</f>
        <v>OK</v>
      </c>
      <c r="E223" s="1"/>
      <c r="F223" s="1">
        <v>176</v>
      </c>
      <c r="G223" s="1">
        <f>SUMIF(Screening!$B$2:$B$236,F223,$H$48:$H$282)</f>
        <v>1</v>
      </c>
      <c r="H223" s="1">
        <f>IF(ISNUMBER(Screening!D177),1,0)</f>
        <v>1</v>
      </c>
    </row>
    <row r="224" spans="1:8" ht="23.1" customHeight="1">
      <c r="A224" s="1">
        <v>177</v>
      </c>
      <c r="B224" s="1" t="str">
        <f>IF(AND(LEN(Screening!B178)=0,LEN(Screening!D178)=0),"",IF(LEN(Screening!B178)=0,"MISSING",IF(OR(NOT(ISNUMBER(Screening!B178)),COUNTIF($F$48:$F$282,Screening!B178)&lt;&gt;1),"INVALID",IF(COUNTIF(Screening!$B$2:$B$236,Screening!B178)&gt;1,"DUPLICATE","OK"))))</f>
        <v>OK</v>
      </c>
      <c r="C224" s="1" t="str">
        <f>IF(AND(LEN(Screening!B178)=0,LEN(Screening!D178)=0),"",IF(AND(B224="OK",ISNUMBER(Screening!D178),Screening!C178="yes",Screening!F178&lt;&gt;"",COUNTIF(Sessions!$A$2:$A$21,Screening!I178)=1,Screening!E178&lt;&gt;"",Screening!G178&lt;&gt;"",Screening!H178=$B$16),"OK","REVIEW"))</f>
        <v>OK</v>
      </c>
      <c r="D224" s="1" t="str">
        <f>IF(A224=Screening!A178,"OK","CHANGED")</f>
        <v>OK</v>
      </c>
      <c r="E224" s="1"/>
      <c r="F224" s="1">
        <v>177</v>
      </c>
      <c r="G224" s="1">
        <f>SUMIF(Screening!$B$2:$B$236,F224,$H$48:$H$282)</f>
        <v>1</v>
      </c>
      <c r="H224" s="1">
        <f>IF(ISNUMBER(Screening!D178),1,0)</f>
        <v>1</v>
      </c>
    </row>
    <row r="225" spans="1:8" ht="23.1" customHeight="1">
      <c r="A225" s="1">
        <v>178</v>
      </c>
      <c r="B225" s="1" t="str">
        <f>IF(AND(LEN(Screening!B179)=0,LEN(Screening!D179)=0),"",IF(LEN(Screening!B179)=0,"MISSING",IF(OR(NOT(ISNUMBER(Screening!B179)),COUNTIF($F$48:$F$282,Screening!B179)&lt;&gt;1),"INVALID",IF(COUNTIF(Screening!$B$2:$B$236,Screening!B179)&gt;1,"DUPLICATE","OK"))))</f>
        <v>OK</v>
      </c>
      <c r="C225" s="1" t="str">
        <f>IF(AND(LEN(Screening!B179)=0,LEN(Screening!D179)=0),"",IF(AND(B225="OK",ISNUMBER(Screening!D179),Screening!C179="yes",Screening!F179&lt;&gt;"",COUNTIF(Sessions!$A$2:$A$21,Screening!I179)=1,Screening!E179&lt;&gt;"",Screening!G179&lt;&gt;"",Screening!H179=$B$16),"OK","REVIEW"))</f>
        <v>OK</v>
      </c>
      <c r="D225" s="1" t="str">
        <f>IF(A225=Screening!A179,"OK","CHANGED")</f>
        <v>OK</v>
      </c>
      <c r="E225" s="1"/>
      <c r="F225" s="1">
        <v>178</v>
      </c>
      <c r="G225" s="1">
        <f>SUMIF(Screening!$B$2:$B$236,F225,$H$48:$H$282)</f>
        <v>1</v>
      </c>
      <c r="H225" s="1">
        <f>IF(ISNUMBER(Screening!D179),1,0)</f>
        <v>1</v>
      </c>
    </row>
    <row r="226" spans="1:8" ht="23.1" customHeight="1">
      <c r="A226" s="1">
        <v>179</v>
      </c>
      <c r="B226" s="1" t="str">
        <f>IF(AND(LEN(Screening!B180)=0,LEN(Screening!D180)=0),"",IF(LEN(Screening!B180)=0,"MISSING",IF(OR(NOT(ISNUMBER(Screening!B180)),COUNTIF($F$48:$F$282,Screening!B180)&lt;&gt;1),"INVALID",IF(COUNTIF(Screening!$B$2:$B$236,Screening!B180)&gt;1,"DUPLICATE","OK"))))</f>
        <v>OK</v>
      </c>
      <c r="C226" s="1" t="str">
        <f>IF(AND(LEN(Screening!B180)=0,LEN(Screening!D180)=0),"",IF(AND(B226="OK",ISNUMBER(Screening!D180),Screening!C180="yes",Screening!F180&lt;&gt;"",COUNTIF(Sessions!$A$2:$A$21,Screening!I180)=1,Screening!E180&lt;&gt;"",Screening!G180&lt;&gt;"",Screening!H180=$B$16),"OK","REVIEW"))</f>
        <v>OK</v>
      </c>
      <c r="D226" s="1" t="str">
        <f>IF(A226=Screening!A180,"OK","CHANGED")</f>
        <v>OK</v>
      </c>
      <c r="E226" s="1"/>
      <c r="F226" s="1">
        <v>179</v>
      </c>
      <c r="G226" s="1">
        <f>SUMIF(Screening!$B$2:$B$236,F226,$H$48:$H$282)</f>
        <v>1</v>
      </c>
      <c r="H226" s="1">
        <f>IF(ISNUMBER(Screening!D180),1,0)</f>
        <v>1</v>
      </c>
    </row>
    <row r="227" spans="1:8" ht="23.1" customHeight="1">
      <c r="A227" s="1">
        <v>180</v>
      </c>
      <c r="B227" s="1" t="str">
        <f>IF(AND(LEN(Screening!B181)=0,LEN(Screening!D181)=0),"",IF(LEN(Screening!B181)=0,"MISSING",IF(OR(NOT(ISNUMBER(Screening!B181)),COUNTIF($F$48:$F$282,Screening!B181)&lt;&gt;1),"INVALID",IF(COUNTIF(Screening!$B$2:$B$236,Screening!B181)&gt;1,"DUPLICATE","OK"))))</f>
        <v>OK</v>
      </c>
      <c r="C227" s="1" t="str">
        <f>IF(AND(LEN(Screening!B181)=0,LEN(Screening!D181)=0),"",IF(AND(B227="OK",ISNUMBER(Screening!D181),Screening!C181="yes",Screening!F181&lt;&gt;"",COUNTIF(Sessions!$A$2:$A$21,Screening!I181)=1,Screening!E181&lt;&gt;"",Screening!G181&lt;&gt;"",Screening!H181=$B$16),"OK","REVIEW"))</f>
        <v>OK</v>
      </c>
      <c r="D227" s="1" t="str">
        <f>IF(A227=Screening!A181,"OK","CHANGED")</f>
        <v>OK</v>
      </c>
      <c r="E227" s="1"/>
      <c r="F227" s="1">
        <v>180</v>
      </c>
      <c r="G227" s="1">
        <f>SUMIF(Screening!$B$2:$B$236,F227,$H$48:$H$282)</f>
        <v>1</v>
      </c>
      <c r="H227" s="1">
        <f>IF(ISNUMBER(Screening!D181),1,0)</f>
        <v>1</v>
      </c>
    </row>
    <row r="228" spans="1:8" ht="23.1" customHeight="1">
      <c r="A228" s="1">
        <v>181</v>
      </c>
      <c r="B228" s="1" t="str">
        <f>IF(AND(LEN(Screening!B182)=0,LEN(Screening!D182)=0),"",IF(LEN(Screening!B182)=0,"MISSING",IF(OR(NOT(ISNUMBER(Screening!B182)),COUNTIF($F$48:$F$282,Screening!B182)&lt;&gt;1),"INVALID",IF(COUNTIF(Screening!$B$2:$B$236,Screening!B182)&gt;1,"DUPLICATE","OK"))))</f>
        <v>OK</v>
      </c>
      <c r="C228" s="1" t="str">
        <f>IF(AND(LEN(Screening!B182)=0,LEN(Screening!D182)=0),"",IF(AND(B228="OK",ISNUMBER(Screening!D182),Screening!C182="yes",Screening!F182&lt;&gt;"",COUNTIF(Sessions!$A$2:$A$21,Screening!I182)=1,Screening!E182&lt;&gt;"",Screening!G182&lt;&gt;"",Screening!H182=$B$16),"OK","REVIEW"))</f>
        <v>OK</v>
      </c>
      <c r="D228" s="1" t="str">
        <f>IF(A228=Screening!A182,"OK","CHANGED")</f>
        <v>OK</v>
      </c>
      <c r="E228" s="1"/>
      <c r="F228" s="1">
        <v>181</v>
      </c>
      <c r="G228" s="1">
        <f>SUMIF(Screening!$B$2:$B$236,F228,$H$48:$H$282)</f>
        <v>1</v>
      </c>
      <c r="H228" s="1">
        <f>IF(ISNUMBER(Screening!D182),1,0)</f>
        <v>1</v>
      </c>
    </row>
    <row r="229" spans="1:8" ht="23.1" customHeight="1">
      <c r="A229" s="1">
        <v>182</v>
      </c>
      <c r="B229" s="1" t="str">
        <f>IF(AND(LEN(Screening!B183)=0,LEN(Screening!D183)=0),"",IF(LEN(Screening!B183)=0,"MISSING",IF(OR(NOT(ISNUMBER(Screening!B183)),COUNTIF($F$48:$F$282,Screening!B183)&lt;&gt;1),"INVALID",IF(COUNTIF(Screening!$B$2:$B$236,Screening!B183)&gt;1,"DUPLICATE","OK"))))</f>
        <v>OK</v>
      </c>
      <c r="C229" s="1" t="str">
        <f>IF(AND(LEN(Screening!B183)=0,LEN(Screening!D183)=0),"",IF(AND(B229="OK",ISNUMBER(Screening!D183),Screening!C183="yes",Screening!F183&lt;&gt;"",COUNTIF(Sessions!$A$2:$A$21,Screening!I183)=1,Screening!E183&lt;&gt;"",Screening!G183&lt;&gt;"",Screening!H183=$B$16),"OK","REVIEW"))</f>
        <v>OK</v>
      </c>
      <c r="D229" s="1" t="str">
        <f>IF(A229=Screening!A183,"OK","CHANGED")</f>
        <v>OK</v>
      </c>
      <c r="E229" s="1"/>
      <c r="F229" s="1">
        <v>182</v>
      </c>
      <c r="G229" s="1">
        <f>SUMIF(Screening!$B$2:$B$236,F229,$H$48:$H$282)</f>
        <v>1</v>
      </c>
      <c r="H229" s="1">
        <f>IF(ISNUMBER(Screening!D183),1,0)</f>
        <v>1</v>
      </c>
    </row>
    <row r="230" spans="1:8" ht="23.1" customHeight="1">
      <c r="A230" s="1">
        <v>183</v>
      </c>
      <c r="B230" s="1" t="str">
        <f>IF(AND(LEN(Screening!B184)=0,LEN(Screening!D184)=0),"",IF(LEN(Screening!B184)=0,"MISSING",IF(OR(NOT(ISNUMBER(Screening!B184)),COUNTIF($F$48:$F$282,Screening!B184)&lt;&gt;1),"INVALID",IF(COUNTIF(Screening!$B$2:$B$236,Screening!B184)&gt;1,"DUPLICATE","OK"))))</f>
        <v>OK</v>
      </c>
      <c r="C230" s="1" t="str">
        <f>IF(AND(LEN(Screening!B184)=0,LEN(Screening!D184)=0),"",IF(AND(B230="OK",ISNUMBER(Screening!D184),Screening!C184="yes",Screening!F184&lt;&gt;"",COUNTIF(Sessions!$A$2:$A$21,Screening!I184)=1,Screening!E184&lt;&gt;"",Screening!G184&lt;&gt;"",Screening!H184=$B$16),"OK","REVIEW"))</f>
        <v>OK</v>
      </c>
      <c r="D230" s="1" t="str">
        <f>IF(A230=Screening!A184,"OK","CHANGED")</f>
        <v>OK</v>
      </c>
      <c r="E230" s="1"/>
      <c r="F230" s="1">
        <v>183</v>
      </c>
      <c r="G230" s="1">
        <f>SUMIF(Screening!$B$2:$B$236,F230,$H$48:$H$282)</f>
        <v>1</v>
      </c>
      <c r="H230" s="1">
        <f>IF(ISNUMBER(Screening!D184),1,0)</f>
        <v>1</v>
      </c>
    </row>
    <row r="231" spans="1:8" ht="23.1" customHeight="1">
      <c r="A231" s="1">
        <v>184</v>
      </c>
      <c r="B231" s="1" t="str">
        <f>IF(AND(LEN(Screening!B185)=0,LEN(Screening!D185)=0),"",IF(LEN(Screening!B185)=0,"MISSING",IF(OR(NOT(ISNUMBER(Screening!B185)),COUNTIF($F$48:$F$282,Screening!B185)&lt;&gt;1),"INVALID",IF(COUNTIF(Screening!$B$2:$B$236,Screening!B185)&gt;1,"DUPLICATE","OK"))))</f>
        <v>OK</v>
      </c>
      <c r="C231" s="1" t="str">
        <f>IF(AND(LEN(Screening!B185)=0,LEN(Screening!D185)=0),"",IF(AND(B231="OK",ISNUMBER(Screening!D185),Screening!C185="yes",Screening!F185&lt;&gt;"",COUNTIF(Sessions!$A$2:$A$21,Screening!I185)=1,Screening!E185&lt;&gt;"",Screening!G185&lt;&gt;"",Screening!H185=$B$16),"OK","REVIEW"))</f>
        <v>OK</v>
      </c>
      <c r="D231" s="1" t="str">
        <f>IF(A231=Screening!A185,"OK","CHANGED")</f>
        <v>OK</v>
      </c>
      <c r="E231" s="1"/>
      <c r="F231" s="1">
        <v>184</v>
      </c>
      <c r="G231" s="1">
        <f>SUMIF(Screening!$B$2:$B$236,F231,$H$48:$H$282)</f>
        <v>1</v>
      </c>
      <c r="H231" s="1">
        <f>IF(ISNUMBER(Screening!D185),1,0)</f>
        <v>1</v>
      </c>
    </row>
    <row r="232" spans="1:8" ht="23.1" customHeight="1">
      <c r="A232" s="1">
        <v>185</v>
      </c>
      <c r="B232" s="1" t="str">
        <f>IF(AND(LEN(Screening!B186)=0,LEN(Screening!D186)=0),"",IF(LEN(Screening!B186)=0,"MISSING",IF(OR(NOT(ISNUMBER(Screening!B186)),COUNTIF($F$48:$F$282,Screening!B186)&lt;&gt;1),"INVALID",IF(COUNTIF(Screening!$B$2:$B$236,Screening!B186)&gt;1,"DUPLICATE","OK"))))</f>
        <v>OK</v>
      </c>
      <c r="C232" s="1" t="str">
        <f>IF(AND(LEN(Screening!B186)=0,LEN(Screening!D186)=0),"",IF(AND(B232="OK",ISNUMBER(Screening!D186),Screening!C186="yes",Screening!F186&lt;&gt;"",COUNTIF(Sessions!$A$2:$A$21,Screening!I186)=1,Screening!E186&lt;&gt;"",Screening!G186&lt;&gt;"",Screening!H186=$B$16),"OK","REVIEW"))</f>
        <v>OK</v>
      </c>
      <c r="D232" s="1" t="str">
        <f>IF(A232=Screening!A186,"OK","CHANGED")</f>
        <v>OK</v>
      </c>
      <c r="E232" s="1"/>
      <c r="F232" s="1">
        <v>185</v>
      </c>
      <c r="G232" s="1">
        <f>SUMIF(Screening!$B$2:$B$236,F232,$H$48:$H$282)</f>
        <v>1</v>
      </c>
      <c r="H232" s="1">
        <f>IF(ISNUMBER(Screening!D186),1,0)</f>
        <v>1</v>
      </c>
    </row>
    <row r="233" spans="1:8" ht="23.1" customHeight="1">
      <c r="A233" s="1">
        <v>186</v>
      </c>
      <c r="B233" s="1" t="str">
        <f>IF(AND(LEN(Screening!B187)=0,LEN(Screening!D187)=0),"",IF(LEN(Screening!B187)=0,"MISSING",IF(OR(NOT(ISNUMBER(Screening!B187)),COUNTIF($F$48:$F$282,Screening!B187)&lt;&gt;1),"INVALID",IF(COUNTIF(Screening!$B$2:$B$236,Screening!B187)&gt;1,"DUPLICATE","OK"))))</f>
        <v>OK</v>
      </c>
      <c r="C233" s="1" t="str">
        <f>IF(AND(LEN(Screening!B187)=0,LEN(Screening!D187)=0),"",IF(AND(B233="OK",ISNUMBER(Screening!D187),Screening!C187="yes",Screening!F187&lt;&gt;"",COUNTIF(Sessions!$A$2:$A$21,Screening!I187)=1,Screening!E187&lt;&gt;"",Screening!G187&lt;&gt;"",Screening!H187=$B$16),"OK","REVIEW"))</f>
        <v>OK</v>
      </c>
      <c r="D233" s="1" t="str">
        <f>IF(A233=Screening!A187,"OK","CHANGED")</f>
        <v>OK</v>
      </c>
      <c r="E233" s="1"/>
      <c r="F233" s="1">
        <v>186</v>
      </c>
      <c r="G233" s="1">
        <f>SUMIF(Screening!$B$2:$B$236,F233,$H$48:$H$282)</f>
        <v>1</v>
      </c>
      <c r="H233" s="1">
        <f>IF(ISNUMBER(Screening!D187),1,0)</f>
        <v>1</v>
      </c>
    </row>
    <row r="234" spans="1:8" ht="23.1" customHeight="1">
      <c r="A234" s="1">
        <v>187</v>
      </c>
      <c r="B234" s="1" t="str">
        <f>IF(AND(LEN(Screening!B188)=0,LEN(Screening!D188)=0),"",IF(LEN(Screening!B188)=0,"MISSING",IF(OR(NOT(ISNUMBER(Screening!B188)),COUNTIF($F$48:$F$282,Screening!B188)&lt;&gt;1),"INVALID",IF(COUNTIF(Screening!$B$2:$B$236,Screening!B188)&gt;1,"DUPLICATE","OK"))))</f>
        <v>OK</v>
      </c>
      <c r="C234" s="1" t="str">
        <f>IF(AND(LEN(Screening!B188)=0,LEN(Screening!D188)=0),"",IF(AND(B234="OK",ISNUMBER(Screening!D188),Screening!C188="yes",Screening!F188&lt;&gt;"",COUNTIF(Sessions!$A$2:$A$21,Screening!I188)=1,Screening!E188&lt;&gt;"",Screening!G188&lt;&gt;"",Screening!H188=$B$16),"OK","REVIEW"))</f>
        <v>OK</v>
      </c>
      <c r="D234" s="1" t="str">
        <f>IF(A234=Screening!A188,"OK","CHANGED")</f>
        <v>OK</v>
      </c>
      <c r="E234" s="1"/>
      <c r="F234" s="1">
        <v>187</v>
      </c>
      <c r="G234" s="1">
        <f>SUMIF(Screening!$B$2:$B$236,F234,$H$48:$H$282)</f>
        <v>1</v>
      </c>
      <c r="H234" s="1">
        <f>IF(ISNUMBER(Screening!D188),1,0)</f>
        <v>1</v>
      </c>
    </row>
    <row r="235" spans="1:8" ht="23.1" customHeight="1">
      <c r="A235" s="1">
        <v>188</v>
      </c>
      <c r="B235" s="1" t="str">
        <f>IF(AND(LEN(Screening!B189)=0,LEN(Screening!D189)=0),"",IF(LEN(Screening!B189)=0,"MISSING",IF(OR(NOT(ISNUMBER(Screening!B189)),COUNTIF($F$48:$F$282,Screening!B189)&lt;&gt;1),"INVALID",IF(COUNTIF(Screening!$B$2:$B$236,Screening!B189)&gt;1,"DUPLICATE","OK"))))</f>
        <v>OK</v>
      </c>
      <c r="C235" s="1" t="str">
        <f>IF(AND(LEN(Screening!B189)=0,LEN(Screening!D189)=0),"",IF(AND(B235="OK",ISNUMBER(Screening!D189),Screening!C189="yes",Screening!F189&lt;&gt;"",COUNTIF(Sessions!$A$2:$A$21,Screening!I189)=1,Screening!E189&lt;&gt;"",Screening!G189&lt;&gt;"",Screening!H189=$B$16),"OK","REVIEW"))</f>
        <v>OK</v>
      </c>
      <c r="D235" s="1" t="str">
        <f>IF(A235=Screening!A189,"OK","CHANGED")</f>
        <v>OK</v>
      </c>
      <c r="E235" s="1"/>
      <c r="F235" s="1">
        <v>188</v>
      </c>
      <c r="G235" s="1">
        <f>SUMIF(Screening!$B$2:$B$236,F235,$H$48:$H$282)</f>
        <v>1</v>
      </c>
      <c r="H235" s="1">
        <f>IF(ISNUMBER(Screening!D189),1,0)</f>
        <v>1</v>
      </c>
    </row>
    <row r="236" spans="1:8" ht="23.1" customHeight="1">
      <c r="A236" s="1">
        <v>189</v>
      </c>
      <c r="B236" s="1" t="str">
        <f>IF(AND(LEN(Screening!B190)=0,LEN(Screening!D190)=0),"",IF(LEN(Screening!B190)=0,"MISSING",IF(OR(NOT(ISNUMBER(Screening!B190)),COUNTIF($F$48:$F$282,Screening!B190)&lt;&gt;1),"INVALID",IF(COUNTIF(Screening!$B$2:$B$236,Screening!B190)&gt;1,"DUPLICATE","OK"))))</f>
        <v>OK</v>
      </c>
      <c r="C236" s="1" t="str">
        <f>IF(AND(LEN(Screening!B190)=0,LEN(Screening!D190)=0),"",IF(AND(B236="OK",ISNUMBER(Screening!D190),Screening!C190="yes",Screening!F190&lt;&gt;"",COUNTIF(Sessions!$A$2:$A$21,Screening!I190)=1,Screening!E190&lt;&gt;"",Screening!G190&lt;&gt;"",Screening!H190=$B$16),"OK","REVIEW"))</f>
        <v>OK</v>
      </c>
      <c r="D236" s="1" t="str">
        <f>IF(A236=Screening!A190,"OK","CHANGED")</f>
        <v>OK</v>
      </c>
      <c r="E236" s="1"/>
      <c r="F236" s="1">
        <v>189</v>
      </c>
      <c r="G236" s="1">
        <f>SUMIF(Screening!$B$2:$B$236,F236,$H$48:$H$282)</f>
        <v>1</v>
      </c>
      <c r="H236" s="1">
        <f>IF(ISNUMBER(Screening!D190),1,0)</f>
        <v>1</v>
      </c>
    </row>
    <row r="237" spans="1:8" ht="23.1" customHeight="1">
      <c r="A237" s="1">
        <v>190</v>
      </c>
      <c r="B237" s="1" t="str">
        <f>IF(AND(LEN(Screening!B191)=0,LEN(Screening!D191)=0),"",IF(LEN(Screening!B191)=0,"MISSING",IF(OR(NOT(ISNUMBER(Screening!B191)),COUNTIF($F$48:$F$282,Screening!B191)&lt;&gt;1),"INVALID",IF(COUNTIF(Screening!$B$2:$B$236,Screening!B191)&gt;1,"DUPLICATE","OK"))))</f>
        <v>OK</v>
      </c>
      <c r="C237" s="1" t="str">
        <f>IF(AND(LEN(Screening!B191)=0,LEN(Screening!D191)=0),"",IF(AND(B237="OK",ISNUMBER(Screening!D191),Screening!C191="yes",Screening!F191&lt;&gt;"",COUNTIF(Sessions!$A$2:$A$21,Screening!I191)=1,Screening!E191&lt;&gt;"",Screening!G191&lt;&gt;"",Screening!H191=$B$16),"OK","REVIEW"))</f>
        <v>OK</v>
      </c>
      <c r="D237" s="1" t="str">
        <f>IF(A237=Screening!A191,"OK","CHANGED")</f>
        <v>OK</v>
      </c>
      <c r="E237" s="1"/>
      <c r="F237" s="1">
        <v>190</v>
      </c>
      <c r="G237" s="1">
        <f>SUMIF(Screening!$B$2:$B$236,F237,$H$48:$H$282)</f>
        <v>1</v>
      </c>
      <c r="H237" s="1">
        <f>IF(ISNUMBER(Screening!D191),1,0)</f>
        <v>1</v>
      </c>
    </row>
    <row r="238" spans="1:8" ht="23.1" customHeight="1">
      <c r="A238" s="1">
        <v>191</v>
      </c>
      <c r="B238" s="1" t="str">
        <f>IF(AND(LEN(Screening!B192)=0,LEN(Screening!D192)=0),"",IF(LEN(Screening!B192)=0,"MISSING",IF(OR(NOT(ISNUMBER(Screening!B192)),COUNTIF($F$48:$F$282,Screening!B192)&lt;&gt;1),"INVALID",IF(COUNTIF(Screening!$B$2:$B$236,Screening!B192)&gt;1,"DUPLICATE","OK"))))</f>
        <v>OK</v>
      </c>
      <c r="C238" s="1" t="str">
        <f>IF(AND(LEN(Screening!B192)=0,LEN(Screening!D192)=0),"",IF(AND(B238="OK",ISNUMBER(Screening!D192),Screening!C192="yes",Screening!F192&lt;&gt;"",COUNTIF(Sessions!$A$2:$A$21,Screening!I192)=1,Screening!E192&lt;&gt;"",Screening!G192&lt;&gt;"",Screening!H192=$B$16),"OK","REVIEW"))</f>
        <v>OK</v>
      </c>
      <c r="D238" s="1" t="str">
        <f>IF(A238=Screening!A192,"OK","CHANGED")</f>
        <v>OK</v>
      </c>
      <c r="E238" s="1"/>
      <c r="F238" s="1">
        <v>191</v>
      </c>
      <c r="G238" s="1">
        <f>SUMIF(Screening!$B$2:$B$236,F238,$H$48:$H$282)</f>
        <v>1</v>
      </c>
      <c r="H238" s="1">
        <f>IF(ISNUMBER(Screening!D192),1,0)</f>
        <v>1</v>
      </c>
    </row>
    <row r="239" spans="1:8" ht="23.1" customHeight="1">
      <c r="A239" s="1">
        <v>192</v>
      </c>
      <c r="B239" s="1" t="str">
        <f>IF(AND(LEN(Screening!B193)=0,LEN(Screening!D193)=0),"",IF(LEN(Screening!B193)=0,"MISSING",IF(OR(NOT(ISNUMBER(Screening!B193)),COUNTIF($F$48:$F$282,Screening!B193)&lt;&gt;1),"INVALID",IF(COUNTIF(Screening!$B$2:$B$236,Screening!B193)&gt;1,"DUPLICATE","OK"))))</f>
        <v>OK</v>
      </c>
      <c r="C239" s="1" t="str">
        <f>IF(AND(LEN(Screening!B193)=0,LEN(Screening!D193)=0),"",IF(AND(B239="OK",ISNUMBER(Screening!D193),Screening!C193="yes",Screening!F193&lt;&gt;"",COUNTIF(Sessions!$A$2:$A$21,Screening!I193)=1,Screening!E193&lt;&gt;"",Screening!G193&lt;&gt;"",Screening!H193=$B$16),"OK","REVIEW"))</f>
        <v>OK</v>
      </c>
      <c r="D239" s="1" t="str">
        <f>IF(A239=Screening!A193,"OK","CHANGED")</f>
        <v>OK</v>
      </c>
      <c r="E239" s="1"/>
      <c r="F239" s="1">
        <v>192</v>
      </c>
      <c r="G239" s="1">
        <f>SUMIF(Screening!$B$2:$B$236,F239,$H$48:$H$282)</f>
        <v>1</v>
      </c>
      <c r="H239" s="1">
        <f>IF(ISNUMBER(Screening!D193),1,0)</f>
        <v>1</v>
      </c>
    </row>
    <row r="240" spans="1:8" ht="23.1" customHeight="1">
      <c r="A240" s="1">
        <v>193</v>
      </c>
      <c r="B240" s="1" t="str">
        <f>IF(AND(LEN(Screening!B194)=0,LEN(Screening!D194)=0),"",IF(LEN(Screening!B194)=0,"MISSING",IF(OR(NOT(ISNUMBER(Screening!B194)),COUNTIF($F$48:$F$282,Screening!B194)&lt;&gt;1),"INVALID",IF(COUNTIF(Screening!$B$2:$B$236,Screening!B194)&gt;1,"DUPLICATE","OK"))))</f>
        <v>OK</v>
      </c>
      <c r="C240" s="1" t="str">
        <f>IF(AND(LEN(Screening!B194)=0,LEN(Screening!D194)=0),"",IF(AND(B240="OK",ISNUMBER(Screening!D194),Screening!C194="yes",Screening!F194&lt;&gt;"",COUNTIF(Sessions!$A$2:$A$21,Screening!I194)=1,Screening!E194&lt;&gt;"",Screening!G194&lt;&gt;"",Screening!H194=$B$16),"OK","REVIEW"))</f>
        <v>OK</v>
      </c>
      <c r="D240" s="1" t="str">
        <f>IF(A240=Screening!A194,"OK","CHANGED")</f>
        <v>OK</v>
      </c>
      <c r="E240" s="1"/>
      <c r="F240" s="1">
        <v>193</v>
      </c>
      <c r="G240" s="1">
        <f>SUMIF(Screening!$B$2:$B$236,F240,$H$48:$H$282)</f>
        <v>1</v>
      </c>
      <c r="H240" s="1">
        <f>IF(ISNUMBER(Screening!D194),1,0)</f>
        <v>1</v>
      </c>
    </row>
    <row r="241" spans="1:8" ht="23.1" customHeight="1">
      <c r="A241" s="1">
        <v>194</v>
      </c>
      <c r="B241" s="1" t="str">
        <f>IF(AND(LEN(Screening!B195)=0,LEN(Screening!D195)=0),"",IF(LEN(Screening!B195)=0,"MISSING",IF(OR(NOT(ISNUMBER(Screening!B195)),COUNTIF($F$48:$F$282,Screening!B195)&lt;&gt;1),"INVALID",IF(COUNTIF(Screening!$B$2:$B$236,Screening!B195)&gt;1,"DUPLICATE","OK"))))</f>
        <v>OK</v>
      </c>
      <c r="C241" s="1" t="str">
        <f>IF(AND(LEN(Screening!B195)=0,LEN(Screening!D195)=0),"",IF(AND(B241="OK",ISNUMBER(Screening!D195),Screening!C195="yes",Screening!F195&lt;&gt;"",COUNTIF(Sessions!$A$2:$A$21,Screening!I195)=1,Screening!E195&lt;&gt;"",Screening!G195&lt;&gt;"",Screening!H195=$B$16),"OK","REVIEW"))</f>
        <v>OK</v>
      </c>
      <c r="D241" s="1" t="str">
        <f>IF(A241=Screening!A195,"OK","CHANGED")</f>
        <v>OK</v>
      </c>
      <c r="E241" s="1"/>
      <c r="F241" s="1">
        <v>194</v>
      </c>
      <c r="G241" s="1">
        <f>SUMIF(Screening!$B$2:$B$236,F241,$H$48:$H$282)</f>
        <v>1</v>
      </c>
      <c r="H241" s="1">
        <f>IF(ISNUMBER(Screening!D195),1,0)</f>
        <v>1</v>
      </c>
    </row>
    <row r="242" spans="1:8" ht="23.1" customHeight="1">
      <c r="A242" s="1">
        <v>195</v>
      </c>
      <c r="B242" s="1" t="str">
        <f>IF(AND(LEN(Screening!B196)=0,LEN(Screening!D196)=0),"",IF(LEN(Screening!B196)=0,"MISSING",IF(OR(NOT(ISNUMBER(Screening!B196)),COUNTIF($F$48:$F$282,Screening!B196)&lt;&gt;1),"INVALID",IF(COUNTIF(Screening!$B$2:$B$236,Screening!B196)&gt;1,"DUPLICATE","OK"))))</f>
        <v>OK</v>
      </c>
      <c r="C242" s="1" t="str">
        <f>IF(AND(LEN(Screening!B196)=0,LEN(Screening!D196)=0),"",IF(AND(B242="OK",ISNUMBER(Screening!D196),Screening!C196="yes",Screening!F196&lt;&gt;"",COUNTIF(Sessions!$A$2:$A$21,Screening!I196)=1,Screening!E196&lt;&gt;"",Screening!G196&lt;&gt;"",Screening!H196=$B$16),"OK","REVIEW"))</f>
        <v>OK</v>
      </c>
      <c r="D242" s="1" t="str">
        <f>IF(A242=Screening!A196,"OK","CHANGED")</f>
        <v>OK</v>
      </c>
      <c r="E242" s="1"/>
      <c r="F242" s="1">
        <v>195</v>
      </c>
      <c r="G242" s="1">
        <f>SUMIF(Screening!$B$2:$B$236,F242,$H$48:$H$282)</f>
        <v>1</v>
      </c>
      <c r="H242" s="1">
        <f>IF(ISNUMBER(Screening!D196),1,0)</f>
        <v>1</v>
      </c>
    </row>
    <row r="243" spans="1:8" ht="23.1" customHeight="1">
      <c r="A243" s="1">
        <v>196</v>
      </c>
      <c r="B243" s="1" t="str">
        <f>IF(AND(LEN(Screening!B197)=0,LEN(Screening!D197)=0),"",IF(LEN(Screening!B197)=0,"MISSING",IF(OR(NOT(ISNUMBER(Screening!B197)),COUNTIF($F$48:$F$282,Screening!B197)&lt;&gt;1),"INVALID",IF(COUNTIF(Screening!$B$2:$B$236,Screening!B197)&gt;1,"DUPLICATE","OK"))))</f>
        <v>OK</v>
      </c>
      <c r="C243" s="1" t="str">
        <f>IF(AND(LEN(Screening!B197)=0,LEN(Screening!D197)=0),"",IF(AND(B243="OK",ISNUMBER(Screening!D197),Screening!C197="yes",Screening!F197&lt;&gt;"",COUNTIF(Sessions!$A$2:$A$21,Screening!I197)=1,Screening!E197&lt;&gt;"",Screening!G197&lt;&gt;"",Screening!H197=$B$16),"OK","REVIEW"))</f>
        <v>OK</v>
      </c>
      <c r="D243" s="1" t="str">
        <f>IF(A243=Screening!A197,"OK","CHANGED")</f>
        <v>OK</v>
      </c>
      <c r="E243" s="1"/>
      <c r="F243" s="1">
        <v>196</v>
      </c>
      <c r="G243" s="1">
        <f>SUMIF(Screening!$B$2:$B$236,F243,$H$48:$H$282)</f>
        <v>1</v>
      </c>
      <c r="H243" s="1">
        <f>IF(ISNUMBER(Screening!D197),1,0)</f>
        <v>1</v>
      </c>
    </row>
    <row r="244" spans="1:8" ht="23.1" customHeight="1">
      <c r="A244" s="1">
        <v>197</v>
      </c>
      <c r="B244" s="1" t="str">
        <f>IF(AND(LEN(Screening!B198)=0,LEN(Screening!D198)=0),"",IF(LEN(Screening!B198)=0,"MISSING",IF(OR(NOT(ISNUMBER(Screening!B198)),COUNTIF($F$48:$F$282,Screening!B198)&lt;&gt;1),"INVALID",IF(COUNTIF(Screening!$B$2:$B$236,Screening!B198)&gt;1,"DUPLICATE","OK"))))</f>
        <v>OK</v>
      </c>
      <c r="C244" s="1" t="str">
        <f>IF(AND(LEN(Screening!B198)=0,LEN(Screening!D198)=0),"",IF(AND(B244="OK",ISNUMBER(Screening!D198),Screening!C198="yes",Screening!F198&lt;&gt;"",COUNTIF(Sessions!$A$2:$A$21,Screening!I198)=1,Screening!E198&lt;&gt;"",Screening!G198&lt;&gt;"",Screening!H198=$B$16),"OK","REVIEW"))</f>
        <v>OK</v>
      </c>
      <c r="D244" s="1" t="str">
        <f>IF(A244=Screening!A198,"OK","CHANGED")</f>
        <v>OK</v>
      </c>
      <c r="E244" s="1"/>
      <c r="F244" s="1">
        <v>197</v>
      </c>
      <c r="G244" s="1">
        <f>SUMIF(Screening!$B$2:$B$236,F244,$H$48:$H$282)</f>
        <v>1</v>
      </c>
      <c r="H244" s="1">
        <f>IF(ISNUMBER(Screening!D198),1,0)</f>
        <v>1</v>
      </c>
    </row>
    <row r="245" spans="1:8" ht="23.1" customHeight="1">
      <c r="A245" s="1">
        <v>198</v>
      </c>
      <c r="B245" s="1" t="str">
        <f>IF(AND(LEN(Screening!B199)=0,LEN(Screening!D199)=0),"",IF(LEN(Screening!B199)=0,"MISSING",IF(OR(NOT(ISNUMBER(Screening!B199)),COUNTIF($F$48:$F$282,Screening!B199)&lt;&gt;1),"INVALID",IF(COUNTIF(Screening!$B$2:$B$236,Screening!B199)&gt;1,"DUPLICATE","OK"))))</f>
        <v>OK</v>
      </c>
      <c r="C245" s="1" t="str">
        <f>IF(AND(LEN(Screening!B199)=0,LEN(Screening!D199)=0),"",IF(AND(B245="OK",ISNUMBER(Screening!D199),Screening!C199="yes",Screening!F199&lt;&gt;"",COUNTIF(Sessions!$A$2:$A$21,Screening!I199)=1,Screening!E199&lt;&gt;"",Screening!G199&lt;&gt;"",Screening!H199=$B$16),"OK","REVIEW"))</f>
        <v>OK</v>
      </c>
      <c r="D245" s="1" t="str">
        <f>IF(A245=Screening!A199,"OK","CHANGED")</f>
        <v>OK</v>
      </c>
      <c r="E245" s="1"/>
      <c r="F245" s="1">
        <v>198</v>
      </c>
      <c r="G245" s="1">
        <f>SUMIF(Screening!$B$2:$B$236,F245,$H$48:$H$282)</f>
        <v>1</v>
      </c>
      <c r="H245" s="1">
        <f>IF(ISNUMBER(Screening!D199),1,0)</f>
        <v>1</v>
      </c>
    </row>
    <row r="246" spans="1:8" ht="23.1" customHeight="1">
      <c r="A246" s="1">
        <v>199</v>
      </c>
      <c r="B246" s="1" t="str">
        <f>IF(AND(LEN(Screening!B200)=0,LEN(Screening!D200)=0),"",IF(LEN(Screening!B200)=0,"MISSING",IF(OR(NOT(ISNUMBER(Screening!B200)),COUNTIF($F$48:$F$282,Screening!B200)&lt;&gt;1),"INVALID",IF(COUNTIF(Screening!$B$2:$B$236,Screening!B200)&gt;1,"DUPLICATE","OK"))))</f>
        <v>OK</v>
      </c>
      <c r="C246" s="1" t="str">
        <f>IF(AND(LEN(Screening!B200)=0,LEN(Screening!D200)=0),"",IF(AND(B246="OK",ISNUMBER(Screening!D200),Screening!C200="yes",Screening!F200&lt;&gt;"",COUNTIF(Sessions!$A$2:$A$21,Screening!I200)=1,Screening!E200&lt;&gt;"",Screening!G200&lt;&gt;"",Screening!H200=$B$16),"OK","REVIEW"))</f>
        <v>OK</v>
      </c>
      <c r="D246" s="1" t="str">
        <f>IF(A246=Screening!A200,"OK","CHANGED")</f>
        <v>OK</v>
      </c>
      <c r="E246" s="1"/>
      <c r="F246" s="1">
        <v>199</v>
      </c>
      <c r="G246" s="1">
        <f>SUMIF(Screening!$B$2:$B$236,F246,$H$48:$H$282)</f>
        <v>1</v>
      </c>
      <c r="H246" s="1">
        <f>IF(ISNUMBER(Screening!D200),1,0)</f>
        <v>1</v>
      </c>
    </row>
    <row r="247" spans="1:8" ht="23.1" customHeight="1">
      <c r="A247" s="1">
        <v>200</v>
      </c>
      <c r="B247" s="1" t="str">
        <f>IF(AND(LEN(Screening!B201)=0,LEN(Screening!D201)=0),"",IF(LEN(Screening!B201)=0,"MISSING",IF(OR(NOT(ISNUMBER(Screening!B201)),COUNTIF($F$48:$F$282,Screening!B201)&lt;&gt;1),"INVALID",IF(COUNTIF(Screening!$B$2:$B$236,Screening!B201)&gt;1,"DUPLICATE","OK"))))</f>
        <v>OK</v>
      </c>
      <c r="C247" s="1" t="str">
        <f>IF(AND(LEN(Screening!B201)=0,LEN(Screening!D201)=0),"",IF(AND(B247="OK",ISNUMBER(Screening!D201),Screening!C201="yes",Screening!F201&lt;&gt;"",COUNTIF(Sessions!$A$2:$A$21,Screening!I201)=1,Screening!E201&lt;&gt;"",Screening!G201&lt;&gt;"",Screening!H201=$B$16),"OK","REVIEW"))</f>
        <v>OK</v>
      </c>
      <c r="D247" s="1" t="str">
        <f>IF(A247=Screening!A201,"OK","CHANGED")</f>
        <v>OK</v>
      </c>
      <c r="E247" s="1"/>
      <c r="F247" s="1">
        <v>200</v>
      </c>
      <c r="G247" s="1">
        <f>SUMIF(Screening!$B$2:$B$236,F247,$H$48:$H$282)</f>
        <v>1</v>
      </c>
      <c r="H247" s="1">
        <f>IF(ISNUMBER(Screening!D201),1,0)</f>
        <v>1</v>
      </c>
    </row>
    <row r="248" spans="1:8" ht="23.1" customHeight="1">
      <c r="A248" s="1">
        <v>201</v>
      </c>
      <c r="B248" s="1" t="str">
        <f>IF(AND(LEN(Screening!B202)=0,LEN(Screening!D202)=0),"",IF(LEN(Screening!B202)=0,"MISSING",IF(OR(NOT(ISNUMBER(Screening!B202)),COUNTIF($F$48:$F$282,Screening!B202)&lt;&gt;1),"INVALID",IF(COUNTIF(Screening!$B$2:$B$236,Screening!B202)&gt;1,"DUPLICATE","OK"))))</f>
        <v>OK</v>
      </c>
      <c r="C248" s="1" t="str">
        <f>IF(AND(LEN(Screening!B202)=0,LEN(Screening!D202)=0),"",IF(AND(B248="OK",ISNUMBER(Screening!D202),Screening!C202="yes",Screening!F202&lt;&gt;"",COUNTIF(Sessions!$A$2:$A$21,Screening!I202)=1,Screening!E202&lt;&gt;"",Screening!G202&lt;&gt;"",Screening!H202=$B$16),"OK","REVIEW"))</f>
        <v>OK</v>
      </c>
      <c r="D248" s="1" t="str">
        <f>IF(A248=Screening!A202,"OK","CHANGED")</f>
        <v>OK</v>
      </c>
      <c r="E248" s="1"/>
      <c r="F248" s="1">
        <v>201</v>
      </c>
      <c r="G248" s="1">
        <f>SUMIF(Screening!$B$2:$B$236,F248,$H$48:$H$282)</f>
        <v>1</v>
      </c>
      <c r="H248" s="1">
        <f>IF(ISNUMBER(Screening!D202),1,0)</f>
        <v>1</v>
      </c>
    </row>
    <row r="249" spans="1:8" ht="23.1" customHeight="1">
      <c r="A249" s="1">
        <v>202</v>
      </c>
      <c r="B249" s="1" t="str">
        <f>IF(AND(LEN(Screening!B203)=0,LEN(Screening!D203)=0),"",IF(LEN(Screening!B203)=0,"MISSING",IF(OR(NOT(ISNUMBER(Screening!B203)),COUNTIF($F$48:$F$282,Screening!B203)&lt;&gt;1),"INVALID",IF(COUNTIF(Screening!$B$2:$B$236,Screening!B203)&gt;1,"DUPLICATE","OK"))))</f>
        <v>OK</v>
      </c>
      <c r="C249" s="1" t="str">
        <f>IF(AND(LEN(Screening!B203)=0,LEN(Screening!D203)=0),"",IF(AND(B249="OK",ISNUMBER(Screening!D203),Screening!C203="yes",Screening!F203&lt;&gt;"",COUNTIF(Sessions!$A$2:$A$21,Screening!I203)=1,Screening!E203&lt;&gt;"",Screening!G203&lt;&gt;"",Screening!H203=$B$16),"OK","REVIEW"))</f>
        <v>OK</v>
      </c>
      <c r="D249" s="1" t="str">
        <f>IF(A249=Screening!A203,"OK","CHANGED")</f>
        <v>OK</v>
      </c>
      <c r="E249" s="1"/>
      <c r="F249" s="1">
        <v>202</v>
      </c>
      <c r="G249" s="1">
        <f>SUMIF(Screening!$B$2:$B$236,F249,$H$48:$H$282)</f>
        <v>1</v>
      </c>
      <c r="H249" s="1">
        <f>IF(ISNUMBER(Screening!D203),1,0)</f>
        <v>1</v>
      </c>
    </row>
    <row r="250" spans="1:8" ht="23.1" customHeight="1">
      <c r="A250" s="1">
        <v>203</v>
      </c>
      <c r="B250" s="1" t="str">
        <f>IF(AND(LEN(Screening!B204)=0,LEN(Screening!D204)=0),"",IF(LEN(Screening!B204)=0,"MISSING",IF(OR(NOT(ISNUMBER(Screening!B204)),COUNTIF($F$48:$F$282,Screening!B204)&lt;&gt;1),"INVALID",IF(COUNTIF(Screening!$B$2:$B$236,Screening!B204)&gt;1,"DUPLICATE","OK"))))</f>
        <v>OK</v>
      </c>
      <c r="C250" s="1" t="str">
        <f>IF(AND(LEN(Screening!B204)=0,LEN(Screening!D204)=0),"",IF(AND(B250="OK",ISNUMBER(Screening!D204),Screening!C204="yes",Screening!F204&lt;&gt;"",COUNTIF(Sessions!$A$2:$A$21,Screening!I204)=1,Screening!E204&lt;&gt;"",Screening!G204&lt;&gt;"",Screening!H204=$B$16),"OK","REVIEW"))</f>
        <v>OK</v>
      </c>
      <c r="D250" s="1" t="str">
        <f>IF(A250=Screening!A204,"OK","CHANGED")</f>
        <v>OK</v>
      </c>
      <c r="E250" s="1"/>
      <c r="F250" s="1">
        <v>203</v>
      </c>
      <c r="G250" s="1">
        <f>SUMIF(Screening!$B$2:$B$236,F250,$H$48:$H$282)</f>
        <v>1</v>
      </c>
      <c r="H250" s="1">
        <f>IF(ISNUMBER(Screening!D204),1,0)</f>
        <v>1</v>
      </c>
    </row>
    <row r="251" spans="1:8" ht="23.1" customHeight="1">
      <c r="A251" s="1">
        <v>204</v>
      </c>
      <c r="B251" s="1" t="str">
        <f>IF(AND(LEN(Screening!B205)=0,LEN(Screening!D205)=0),"",IF(LEN(Screening!B205)=0,"MISSING",IF(OR(NOT(ISNUMBER(Screening!B205)),COUNTIF($F$48:$F$282,Screening!B205)&lt;&gt;1),"INVALID",IF(COUNTIF(Screening!$B$2:$B$236,Screening!B205)&gt;1,"DUPLICATE","OK"))))</f>
        <v>OK</v>
      </c>
      <c r="C251" s="1" t="str">
        <f>IF(AND(LEN(Screening!B205)=0,LEN(Screening!D205)=0),"",IF(AND(B251="OK",ISNUMBER(Screening!D205),Screening!C205="yes",Screening!F205&lt;&gt;"",COUNTIF(Sessions!$A$2:$A$21,Screening!I205)=1,Screening!E205&lt;&gt;"",Screening!G205&lt;&gt;"",Screening!H205=$B$16),"OK","REVIEW"))</f>
        <v>OK</v>
      </c>
      <c r="D251" s="1" t="str">
        <f>IF(A251=Screening!A205,"OK","CHANGED")</f>
        <v>OK</v>
      </c>
      <c r="E251" s="1"/>
      <c r="F251" s="1">
        <v>204</v>
      </c>
      <c r="G251" s="1">
        <f>SUMIF(Screening!$B$2:$B$236,F251,$H$48:$H$282)</f>
        <v>1</v>
      </c>
      <c r="H251" s="1">
        <f>IF(ISNUMBER(Screening!D205),1,0)</f>
        <v>1</v>
      </c>
    </row>
    <row r="252" spans="1:8" ht="23.1" customHeight="1">
      <c r="A252" s="1">
        <v>205</v>
      </c>
      <c r="B252" s="1" t="str">
        <f>IF(AND(LEN(Screening!B206)=0,LEN(Screening!D206)=0),"",IF(LEN(Screening!B206)=0,"MISSING",IF(OR(NOT(ISNUMBER(Screening!B206)),COUNTIF($F$48:$F$282,Screening!B206)&lt;&gt;1),"INVALID",IF(COUNTIF(Screening!$B$2:$B$236,Screening!B206)&gt;1,"DUPLICATE","OK"))))</f>
        <v>OK</v>
      </c>
      <c r="C252" s="1" t="str">
        <f>IF(AND(LEN(Screening!B206)=0,LEN(Screening!D206)=0),"",IF(AND(B252="OK",ISNUMBER(Screening!D206),Screening!C206="yes",Screening!F206&lt;&gt;"",COUNTIF(Sessions!$A$2:$A$21,Screening!I206)=1,Screening!E206&lt;&gt;"",Screening!G206&lt;&gt;"",Screening!H206=$B$16),"OK","REVIEW"))</f>
        <v>OK</v>
      </c>
      <c r="D252" s="1" t="str">
        <f>IF(A252=Screening!A206,"OK","CHANGED")</f>
        <v>OK</v>
      </c>
      <c r="E252" s="1"/>
      <c r="F252" s="1">
        <v>205</v>
      </c>
      <c r="G252" s="1">
        <f>SUMIF(Screening!$B$2:$B$236,F252,$H$48:$H$282)</f>
        <v>1</v>
      </c>
      <c r="H252" s="1">
        <f>IF(ISNUMBER(Screening!D206),1,0)</f>
        <v>1</v>
      </c>
    </row>
    <row r="253" spans="1:8" ht="23.1" customHeight="1">
      <c r="A253" s="1">
        <v>206</v>
      </c>
      <c r="B253" s="1" t="str">
        <f>IF(AND(LEN(Screening!B207)=0,LEN(Screening!D207)=0),"",IF(LEN(Screening!B207)=0,"MISSING",IF(OR(NOT(ISNUMBER(Screening!B207)),COUNTIF($F$48:$F$282,Screening!B207)&lt;&gt;1),"INVALID",IF(COUNTIF(Screening!$B$2:$B$236,Screening!B207)&gt;1,"DUPLICATE","OK"))))</f>
        <v>OK</v>
      </c>
      <c r="C253" s="1" t="str">
        <f>IF(AND(LEN(Screening!B207)=0,LEN(Screening!D207)=0),"",IF(AND(B253="OK",ISNUMBER(Screening!D207),Screening!C207="yes",Screening!F207&lt;&gt;"",COUNTIF(Sessions!$A$2:$A$21,Screening!I207)=1,Screening!E207&lt;&gt;"",Screening!G207&lt;&gt;"",Screening!H207=$B$16),"OK","REVIEW"))</f>
        <v>OK</v>
      </c>
      <c r="D253" s="1" t="str">
        <f>IF(A253=Screening!A207,"OK","CHANGED")</f>
        <v>OK</v>
      </c>
      <c r="E253" s="1"/>
      <c r="F253" s="1">
        <v>206</v>
      </c>
      <c r="G253" s="1">
        <f>SUMIF(Screening!$B$2:$B$236,F253,$H$48:$H$282)</f>
        <v>1</v>
      </c>
      <c r="H253" s="1">
        <f>IF(ISNUMBER(Screening!D207),1,0)</f>
        <v>1</v>
      </c>
    </row>
    <row r="254" spans="1:8" ht="23.1" customHeight="1">
      <c r="A254" s="1">
        <v>207</v>
      </c>
      <c r="B254" s="1" t="str">
        <f>IF(AND(LEN(Screening!B208)=0,LEN(Screening!D208)=0),"",IF(LEN(Screening!B208)=0,"MISSING",IF(OR(NOT(ISNUMBER(Screening!B208)),COUNTIF($F$48:$F$282,Screening!B208)&lt;&gt;1),"INVALID",IF(COUNTIF(Screening!$B$2:$B$236,Screening!B208)&gt;1,"DUPLICATE","OK"))))</f>
        <v>OK</v>
      </c>
      <c r="C254" s="1" t="str">
        <f>IF(AND(LEN(Screening!B208)=0,LEN(Screening!D208)=0),"",IF(AND(B254="OK",ISNUMBER(Screening!D208),Screening!C208="yes",Screening!F208&lt;&gt;"",COUNTIF(Sessions!$A$2:$A$21,Screening!I208)=1,Screening!E208&lt;&gt;"",Screening!G208&lt;&gt;"",Screening!H208=$B$16),"OK","REVIEW"))</f>
        <v>OK</v>
      </c>
      <c r="D254" s="1" t="str">
        <f>IF(A254=Screening!A208,"OK","CHANGED")</f>
        <v>OK</v>
      </c>
      <c r="E254" s="1"/>
      <c r="F254" s="1">
        <v>207</v>
      </c>
      <c r="G254" s="1">
        <f>SUMIF(Screening!$B$2:$B$236,F254,$H$48:$H$282)</f>
        <v>1</v>
      </c>
      <c r="H254" s="1">
        <f>IF(ISNUMBER(Screening!D208),1,0)</f>
        <v>1</v>
      </c>
    </row>
    <row r="255" spans="1:8" ht="23.1" customHeight="1">
      <c r="A255" s="1">
        <v>208</v>
      </c>
      <c r="B255" s="1" t="str">
        <f>IF(AND(LEN(Screening!B209)=0,LEN(Screening!D209)=0),"",IF(LEN(Screening!B209)=0,"MISSING",IF(OR(NOT(ISNUMBER(Screening!B209)),COUNTIF($F$48:$F$282,Screening!B209)&lt;&gt;1),"INVALID",IF(COUNTIF(Screening!$B$2:$B$236,Screening!B209)&gt;1,"DUPLICATE","OK"))))</f>
        <v>OK</v>
      </c>
      <c r="C255" s="1" t="str">
        <f>IF(AND(LEN(Screening!B209)=0,LEN(Screening!D209)=0),"",IF(AND(B255="OK",ISNUMBER(Screening!D209),Screening!C209="yes",Screening!F209&lt;&gt;"",COUNTIF(Sessions!$A$2:$A$21,Screening!I209)=1,Screening!E209&lt;&gt;"",Screening!G209&lt;&gt;"",Screening!H209=$B$16),"OK","REVIEW"))</f>
        <v>OK</v>
      </c>
      <c r="D255" s="1" t="str">
        <f>IF(A255=Screening!A209,"OK","CHANGED")</f>
        <v>OK</v>
      </c>
      <c r="E255" s="1"/>
      <c r="F255" s="1">
        <v>208</v>
      </c>
      <c r="G255" s="1">
        <f>SUMIF(Screening!$B$2:$B$236,F255,$H$48:$H$282)</f>
        <v>1</v>
      </c>
      <c r="H255" s="1">
        <f>IF(ISNUMBER(Screening!D209),1,0)</f>
        <v>1</v>
      </c>
    </row>
    <row r="256" spans="1:8" ht="23.1" customHeight="1">
      <c r="A256" s="1">
        <v>209</v>
      </c>
      <c r="B256" s="1" t="str">
        <f>IF(AND(LEN(Screening!B210)=0,LEN(Screening!D210)=0),"",IF(LEN(Screening!B210)=0,"MISSING",IF(OR(NOT(ISNUMBER(Screening!B210)),COUNTIF($F$48:$F$282,Screening!B210)&lt;&gt;1),"INVALID",IF(COUNTIF(Screening!$B$2:$B$236,Screening!B210)&gt;1,"DUPLICATE","OK"))))</f>
        <v>OK</v>
      </c>
      <c r="C256" s="1" t="str">
        <f>IF(AND(LEN(Screening!B210)=0,LEN(Screening!D210)=0),"",IF(AND(B256="OK",ISNUMBER(Screening!D210),Screening!C210="yes",Screening!F210&lt;&gt;"",COUNTIF(Sessions!$A$2:$A$21,Screening!I210)=1,Screening!E210&lt;&gt;"",Screening!G210&lt;&gt;"",Screening!H210=$B$16),"OK","REVIEW"))</f>
        <v>OK</v>
      </c>
      <c r="D256" s="1" t="str">
        <f>IF(A256=Screening!A210,"OK","CHANGED")</f>
        <v>OK</v>
      </c>
      <c r="E256" s="1"/>
      <c r="F256" s="1">
        <v>209</v>
      </c>
      <c r="G256" s="1">
        <f>SUMIF(Screening!$B$2:$B$236,F256,$H$48:$H$282)</f>
        <v>1</v>
      </c>
      <c r="H256" s="1">
        <f>IF(ISNUMBER(Screening!D210),1,0)</f>
        <v>1</v>
      </c>
    </row>
    <row r="257" spans="1:8" ht="23.1" customHeight="1">
      <c r="A257" s="1">
        <v>210</v>
      </c>
      <c r="B257" s="1" t="str">
        <f>IF(AND(LEN(Screening!B211)=0,LEN(Screening!D211)=0),"",IF(LEN(Screening!B211)=0,"MISSING",IF(OR(NOT(ISNUMBER(Screening!B211)),COUNTIF($F$48:$F$282,Screening!B211)&lt;&gt;1),"INVALID",IF(COUNTIF(Screening!$B$2:$B$236,Screening!B211)&gt;1,"DUPLICATE","OK"))))</f>
        <v>OK</v>
      </c>
      <c r="C257" s="1" t="str">
        <f>IF(AND(LEN(Screening!B211)=0,LEN(Screening!D211)=0),"",IF(AND(B257="OK",ISNUMBER(Screening!D211),Screening!C211="yes",Screening!F211&lt;&gt;"",COUNTIF(Sessions!$A$2:$A$21,Screening!I211)=1,Screening!E211&lt;&gt;"",Screening!G211&lt;&gt;"",Screening!H211=$B$16),"OK","REVIEW"))</f>
        <v>OK</v>
      </c>
      <c r="D257" s="1" t="str">
        <f>IF(A257=Screening!A211,"OK","CHANGED")</f>
        <v>OK</v>
      </c>
      <c r="E257" s="1"/>
      <c r="F257" s="1">
        <v>210</v>
      </c>
      <c r="G257" s="1">
        <f>SUMIF(Screening!$B$2:$B$236,F257,$H$48:$H$282)</f>
        <v>1</v>
      </c>
      <c r="H257" s="1">
        <f>IF(ISNUMBER(Screening!D211),1,0)</f>
        <v>1</v>
      </c>
    </row>
    <row r="258" spans="1:8" ht="23.1" customHeight="1">
      <c r="A258" s="1">
        <v>211</v>
      </c>
      <c r="B258" s="1" t="str">
        <f>IF(AND(LEN(Screening!B212)=0,LEN(Screening!D212)=0),"",IF(LEN(Screening!B212)=0,"MISSING",IF(OR(NOT(ISNUMBER(Screening!B212)),COUNTIF($F$48:$F$282,Screening!B212)&lt;&gt;1),"INVALID",IF(COUNTIF(Screening!$B$2:$B$236,Screening!B212)&gt;1,"DUPLICATE","OK"))))</f>
        <v>OK</v>
      </c>
      <c r="C258" s="1" t="str">
        <f>IF(AND(LEN(Screening!B212)=0,LEN(Screening!D212)=0),"",IF(AND(B258="OK",ISNUMBER(Screening!D212),Screening!C212="yes",Screening!F212&lt;&gt;"",COUNTIF(Sessions!$A$2:$A$21,Screening!I212)=1,Screening!E212&lt;&gt;"",Screening!G212&lt;&gt;"",Screening!H212=$B$16),"OK","REVIEW"))</f>
        <v>OK</v>
      </c>
      <c r="D258" s="1" t="str">
        <f>IF(A258=Screening!A212,"OK","CHANGED")</f>
        <v>OK</v>
      </c>
      <c r="E258" s="1"/>
      <c r="F258" s="1">
        <v>211</v>
      </c>
      <c r="G258" s="1">
        <f>SUMIF(Screening!$B$2:$B$236,F258,$H$48:$H$282)</f>
        <v>1</v>
      </c>
      <c r="H258" s="1">
        <f>IF(ISNUMBER(Screening!D212),1,0)</f>
        <v>1</v>
      </c>
    </row>
    <row r="259" spans="1:8" ht="23.1" customHeight="1">
      <c r="A259" s="1">
        <v>212</v>
      </c>
      <c r="B259" s="1" t="str">
        <f>IF(AND(LEN(Screening!B213)=0,LEN(Screening!D213)=0),"",IF(LEN(Screening!B213)=0,"MISSING",IF(OR(NOT(ISNUMBER(Screening!B213)),COUNTIF($F$48:$F$282,Screening!B213)&lt;&gt;1),"INVALID",IF(COUNTIF(Screening!$B$2:$B$236,Screening!B213)&gt;1,"DUPLICATE","OK"))))</f>
        <v>OK</v>
      </c>
      <c r="C259" s="1" t="str">
        <f>IF(AND(LEN(Screening!B213)=0,LEN(Screening!D213)=0),"",IF(AND(B259="OK",ISNUMBER(Screening!D213),Screening!C213="yes",Screening!F213&lt;&gt;"",COUNTIF(Sessions!$A$2:$A$21,Screening!I213)=1,Screening!E213&lt;&gt;"",Screening!G213&lt;&gt;"",Screening!H213=$B$16),"OK","REVIEW"))</f>
        <v>OK</v>
      </c>
      <c r="D259" s="1" t="str">
        <f>IF(A259=Screening!A213,"OK","CHANGED")</f>
        <v>OK</v>
      </c>
      <c r="E259" s="1"/>
      <c r="F259" s="1">
        <v>212</v>
      </c>
      <c r="G259" s="1">
        <f>SUMIF(Screening!$B$2:$B$236,F259,$H$48:$H$282)</f>
        <v>1</v>
      </c>
      <c r="H259" s="1">
        <f>IF(ISNUMBER(Screening!D213),1,0)</f>
        <v>1</v>
      </c>
    </row>
    <row r="260" spans="1:8" ht="23.1" customHeight="1">
      <c r="A260" s="1">
        <v>213</v>
      </c>
      <c r="B260" s="1" t="str">
        <f>IF(AND(LEN(Screening!B214)=0,LEN(Screening!D214)=0),"",IF(LEN(Screening!B214)=0,"MISSING",IF(OR(NOT(ISNUMBER(Screening!B214)),COUNTIF($F$48:$F$282,Screening!B214)&lt;&gt;1),"INVALID",IF(COUNTIF(Screening!$B$2:$B$236,Screening!B214)&gt;1,"DUPLICATE","OK"))))</f>
        <v>OK</v>
      </c>
      <c r="C260" s="1" t="str">
        <f>IF(AND(LEN(Screening!B214)=0,LEN(Screening!D214)=0),"",IF(AND(B260="OK",ISNUMBER(Screening!D214),Screening!C214="yes",Screening!F214&lt;&gt;"",COUNTIF(Sessions!$A$2:$A$21,Screening!I214)=1,Screening!E214&lt;&gt;"",Screening!G214&lt;&gt;"",Screening!H214=$B$16),"OK","REVIEW"))</f>
        <v>OK</v>
      </c>
      <c r="D260" s="1" t="str">
        <f>IF(A260=Screening!A214,"OK","CHANGED")</f>
        <v>OK</v>
      </c>
      <c r="E260" s="1"/>
      <c r="F260" s="1">
        <v>213</v>
      </c>
      <c r="G260" s="1">
        <f>SUMIF(Screening!$B$2:$B$236,F260,$H$48:$H$282)</f>
        <v>1</v>
      </c>
      <c r="H260" s="1">
        <f>IF(ISNUMBER(Screening!D214),1,0)</f>
        <v>1</v>
      </c>
    </row>
    <row r="261" spans="1:8" ht="23.1" customHeight="1">
      <c r="A261" s="1">
        <v>214</v>
      </c>
      <c r="B261" s="1" t="str">
        <f>IF(AND(LEN(Screening!B215)=0,LEN(Screening!D215)=0),"",IF(LEN(Screening!B215)=0,"MISSING",IF(OR(NOT(ISNUMBER(Screening!B215)),COUNTIF($F$48:$F$282,Screening!B215)&lt;&gt;1),"INVALID",IF(COUNTIF(Screening!$B$2:$B$236,Screening!B215)&gt;1,"DUPLICATE","OK"))))</f>
        <v>OK</v>
      </c>
      <c r="C261" s="1" t="str">
        <f>IF(AND(LEN(Screening!B215)=0,LEN(Screening!D215)=0),"",IF(AND(B261="OK",ISNUMBER(Screening!D215),Screening!C215="yes",Screening!F215&lt;&gt;"",COUNTIF(Sessions!$A$2:$A$21,Screening!I215)=1,Screening!E215&lt;&gt;"",Screening!G215&lt;&gt;"",Screening!H215=$B$16),"OK","REVIEW"))</f>
        <v>OK</v>
      </c>
      <c r="D261" s="1" t="str">
        <f>IF(A261=Screening!A215,"OK","CHANGED")</f>
        <v>OK</v>
      </c>
      <c r="E261" s="1"/>
      <c r="F261" s="1">
        <v>214</v>
      </c>
      <c r="G261" s="1">
        <f>SUMIF(Screening!$B$2:$B$236,F261,$H$48:$H$282)</f>
        <v>1</v>
      </c>
      <c r="H261" s="1">
        <f>IF(ISNUMBER(Screening!D215),1,0)</f>
        <v>1</v>
      </c>
    </row>
    <row r="262" spans="1:8" ht="23.1" customHeight="1">
      <c r="A262" s="1">
        <v>215</v>
      </c>
      <c r="B262" s="1" t="str">
        <f>IF(AND(LEN(Screening!B216)=0,LEN(Screening!D216)=0),"",IF(LEN(Screening!B216)=0,"MISSING",IF(OR(NOT(ISNUMBER(Screening!B216)),COUNTIF($F$48:$F$282,Screening!B216)&lt;&gt;1),"INVALID",IF(COUNTIF(Screening!$B$2:$B$236,Screening!B216)&gt;1,"DUPLICATE","OK"))))</f>
        <v>OK</v>
      </c>
      <c r="C262" s="1" t="str">
        <f>IF(AND(LEN(Screening!B216)=0,LEN(Screening!D216)=0),"",IF(AND(B262="OK",ISNUMBER(Screening!D216),Screening!C216="yes",Screening!F216&lt;&gt;"",COUNTIF(Sessions!$A$2:$A$21,Screening!I216)=1,Screening!E216&lt;&gt;"",Screening!G216&lt;&gt;"",Screening!H216=$B$16),"OK","REVIEW"))</f>
        <v>OK</v>
      </c>
      <c r="D262" s="1" t="str">
        <f>IF(A262=Screening!A216,"OK","CHANGED")</f>
        <v>OK</v>
      </c>
      <c r="E262" s="1"/>
      <c r="F262" s="1">
        <v>215</v>
      </c>
      <c r="G262" s="1">
        <f>SUMIF(Screening!$B$2:$B$236,F262,$H$48:$H$282)</f>
        <v>1</v>
      </c>
      <c r="H262" s="1">
        <f>IF(ISNUMBER(Screening!D216),1,0)</f>
        <v>1</v>
      </c>
    </row>
    <row r="263" spans="1:8" ht="23.1" customHeight="1">
      <c r="A263" s="1">
        <v>216</v>
      </c>
      <c r="B263" s="1" t="str">
        <f>IF(AND(LEN(Screening!B217)=0,LEN(Screening!D217)=0),"",IF(LEN(Screening!B217)=0,"MISSING",IF(OR(NOT(ISNUMBER(Screening!B217)),COUNTIF($F$48:$F$282,Screening!B217)&lt;&gt;1),"INVALID",IF(COUNTIF(Screening!$B$2:$B$236,Screening!B217)&gt;1,"DUPLICATE","OK"))))</f>
        <v>OK</v>
      </c>
      <c r="C263" s="1" t="str">
        <f>IF(AND(LEN(Screening!B217)=0,LEN(Screening!D217)=0),"",IF(AND(B263="OK",ISNUMBER(Screening!D217),Screening!C217="yes",Screening!F217&lt;&gt;"",COUNTIF(Sessions!$A$2:$A$21,Screening!I217)=1,Screening!E217&lt;&gt;"",Screening!G217&lt;&gt;"",Screening!H217=$B$16),"OK","REVIEW"))</f>
        <v>OK</v>
      </c>
      <c r="D263" s="1" t="str">
        <f>IF(A263=Screening!A217,"OK","CHANGED")</f>
        <v>OK</v>
      </c>
      <c r="E263" s="1"/>
      <c r="F263" s="1">
        <v>216</v>
      </c>
      <c r="G263" s="1">
        <f>SUMIF(Screening!$B$2:$B$236,F263,$H$48:$H$282)</f>
        <v>1</v>
      </c>
      <c r="H263" s="1">
        <f>IF(ISNUMBER(Screening!D217),1,0)</f>
        <v>1</v>
      </c>
    </row>
    <row r="264" spans="1:8" ht="23.1" customHeight="1">
      <c r="A264" s="1">
        <v>217</v>
      </c>
      <c r="B264" s="1" t="str">
        <f>IF(AND(LEN(Screening!B218)=0,LEN(Screening!D218)=0),"",IF(LEN(Screening!B218)=0,"MISSING",IF(OR(NOT(ISNUMBER(Screening!B218)),COUNTIF($F$48:$F$282,Screening!B218)&lt;&gt;1),"INVALID",IF(COUNTIF(Screening!$B$2:$B$236,Screening!B218)&gt;1,"DUPLICATE","OK"))))</f>
        <v>OK</v>
      </c>
      <c r="C264" s="1" t="str">
        <f>IF(AND(LEN(Screening!B218)=0,LEN(Screening!D218)=0),"",IF(AND(B264="OK",ISNUMBER(Screening!D218),Screening!C218="yes",Screening!F218&lt;&gt;"",COUNTIF(Sessions!$A$2:$A$21,Screening!I218)=1,Screening!E218&lt;&gt;"",Screening!G218&lt;&gt;"",Screening!H218=$B$16),"OK","REVIEW"))</f>
        <v>OK</v>
      </c>
      <c r="D264" s="1" t="str">
        <f>IF(A264=Screening!A218,"OK","CHANGED")</f>
        <v>OK</v>
      </c>
      <c r="E264" s="1"/>
      <c r="F264" s="1">
        <v>217</v>
      </c>
      <c r="G264" s="1">
        <f>SUMIF(Screening!$B$2:$B$236,F264,$H$48:$H$282)</f>
        <v>1</v>
      </c>
      <c r="H264" s="1">
        <f>IF(ISNUMBER(Screening!D218),1,0)</f>
        <v>1</v>
      </c>
    </row>
    <row r="265" spans="1:8" ht="23.1" customHeight="1">
      <c r="A265" s="1">
        <v>218</v>
      </c>
      <c r="B265" s="1" t="str">
        <f>IF(AND(LEN(Screening!B219)=0,LEN(Screening!D219)=0),"",IF(LEN(Screening!B219)=0,"MISSING",IF(OR(NOT(ISNUMBER(Screening!B219)),COUNTIF($F$48:$F$282,Screening!B219)&lt;&gt;1),"INVALID",IF(COUNTIF(Screening!$B$2:$B$236,Screening!B219)&gt;1,"DUPLICATE","OK"))))</f>
        <v>OK</v>
      </c>
      <c r="C265" s="1" t="str">
        <f>IF(AND(LEN(Screening!B219)=0,LEN(Screening!D219)=0),"",IF(AND(B265="OK",ISNUMBER(Screening!D219),Screening!C219="yes",Screening!F219&lt;&gt;"",COUNTIF(Sessions!$A$2:$A$21,Screening!I219)=1,Screening!E219&lt;&gt;"",Screening!G219&lt;&gt;"",Screening!H219=$B$16),"OK","REVIEW"))</f>
        <v>OK</v>
      </c>
      <c r="D265" s="1" t="str">
        <f>IF(A265=Screening!A219,"OK","CHANGED")</f>
        <v>OK</v>
      </c>
      <c r="E265" s="1"/>
      <c r="F265" s="1">
        <v>218</v>
      </c>
      <c r="G265" s="1">
        <f>SUMIF(Screening!$B$2:$B$236,F265,$H$48:$H$282)</f>
        <v>1</v>
      </c>
      <c r="H265" s="1">
        <f>IF(ISNUMBER(Screening!D219),1,0)</f>
        <v>1</v>
      </c>
    </row>
    <row r="266" spans="1:8" ht="23.1" customHeight="1">
      <c r="A266" s="1">
        <v>219</v>
      </c>
      <c r="B266" s="1" t="str">
        <f>IF(AND(LEN(Screening!B220)=0,LEN(Screening!D220)=0),"",IF(LEN(Screening!B220)=0,"MISSING",IF(OR(NOT(ISNUMBER(Screening!B220)),COUNTIF($F$48:$F$282,Screening!B220)&lt;&gt;1),"INVALID",IF(COUNTIF(Screening!$B$2:$B$236,Screening!B220)&gt;1,"DUPLICATE","OK"))))</f>
        <v>OK</v>
      </c>
      <c r="C266" s="1" t="str">
        <f>IF(AND(LEN(Screening!B220)=0,LEN(Screening!D220)=0),"",IF(AND(B266="OK",ISNUMBER(Screening!D220),Screening!C220="yes",Screening!F220&lt;&gt;"",COUNTIF(Sessions!$A$2:$A$21,Screening!I220)=1,Screening!E220&lt;&gt;"",Screening!G220&lt;&gt;"",Screening!H220=$B$16),"OK","REVIEW"))</f>
        <v>OK</v>
      </c>
      <c r="D266" s="1" t="str">
        <f>IF(A266=Screening!A220,"OK","CHANGED")</f>
        <v>OK</v>
      </c>
      <c r="E266" s="1"/>
      <c r="F266" s="1">
        <v>219</v>
      </c>
      <c r="G266" s="1">
        <f>SUMIF(Screening!$B$2:$B$236,F266,$H$48:$H$282)</f>
        <v>1</v>
      </c>
      <c r="H266" s="1">
        <f>IF(ISNUMBER(Screening!D220),1,0)</f>
        <v>1</v>
      </c>
    </row>
    <row r="267" spans="1:8" ht="23.1" customHeight="1">
      <c r="A267" s="1">
        <v>220</v>
      </c>
      <c r="B267" s="1" t="str">
        <f>IF(AND(LEN(Screening!B221)=0,LEN(Screening!D221)=0),"",IF(LEN(Screening!B221)=0,"MISSING",IF(OR(NOT(ISNUMBER(Screening!B221)),COUNTIF($F$48:$F$282,Screening!B221)&lt;&gt;1),"INVALID",IF(COUNTIF(Screening!$B$2:$B$236,Screening!B221)&gt;1,"DUPLICATE","OK"))))</f>
        <v>OK</v>
      </c>
      <c r="C267" s="1" t="str">
        <f>IF(AND(LEN(Screening!B221)=0,LEN(Screening!D221)=0),"",IF(AND(B267="OK",ISNUMBER(Screening!D221),Screening!C221="yes",Screening!F221&lt;&gt;"",COUNTIF(Sessions!$A$2:$A$21,Screening!I221)=1,Screening!E221&lt;&gt;"",Screening!G221&lt;&gt;"",Screening!H221=$B$16),"OK","REVIEW"))</f>
        <v>OK</v>
      </c>
      <c r="D267" s="1" t="str">
        <f>IF(A267=Screening!A221,"OK","CHANGED")</f>
        <v>OK</v>
      </c>
      <c r="E267" s="1"/>
      <c r="F267" s="1">
        <v>220</v>
      </c>
      <c r="G267" s="1">
        <f>SUMIF(Screening!$B$2:$B$236,F267,$H$48:$H$282)</f>
        <v>1</v>
      </c>
      <c r="H267" s="1">
        <f>IF(ISNUMBER(Screening!D221),1,0)</f>
        <v>1</v>
      </c>
    </row>
    <row r="268" spans="1:8" ht="23.1" customHeight="1">
      <c r="A268" s="1">
        <v>221</v>
      </c>
      <c r="B268" s="1" t="str">
        <f>IF(AND(LEN(Screening!B222)=0,LEN(Screening!D222)=0),"",IF(LEN(Screening!B222)=0,"MISSING",IF(OR(NOT(ISNUMBER(Screening!B222)),COUNTIF($F$48:$F$282,Screening!B222)&lt;&gt;1),"INVALID",IF(COUNTIF(Screening!$B$2:$B$236,Screening!B222)&gt;1,"DUPLICATE","OK"))))</f>
        <v>OK</v>
      </c>
      <c r="C268" s="1" t="str">
        <f>IF(AND(LEN(Screening!B222)=0,LEN(Screening!D222)=0),"",IF(AND(B268="OK",ISNUMBER(Screening!D222),Screening!C222="yes",Screening!F222&lt;&gt;"",COUNTIF(Sessions!$A$2:$A$21,Screening!I222)=1,Screening!E222&lt;&gt;"",Screening!G222&lt;&gt;"",Screening!H222=$B$16),"OK","REVIEW"))</f>
        <v>OK</v>
      </c>
      <c r="D268" s="1" t="str">
        <f>IF(A268=Screening!A222,"OK","CHANGED")</f>
        <v>OK</v>
      </c>
      <c r="E268" s="1"/>
      <c r="F268" s="1">
        <v>221</v>
      </c>
      <c r="G268" s="1">
        <f>SUMIF(Screening!$B$2:$B$236,F268,$H$48:$H$282)</f>
        <v>1</v>
      </c>
      <c r="H268" s="1">
        <f>IF(ISNUMBER(Screening!D222),1,0)</f>
        <v>1</v>
      </c>
    </row>
    <row r="269" spans="1:8" ht="23.1" customHeight="1">
      <c r="A269" s="1">
        <v>222</v>
      </c>
      <c r="B269" s="1" t="str">
        <f>IF(AND(LEN(Screening!B223)=0,LEN(Screening!D223)=0),"",IF(LEN(Screening!B223)=0,"MISSING",IF(OR(NOT(ISNUMBER(Screening!B223)),COUNTIF($F$48:$F$282,Screening!B223)&lt;&gt;1),"INVALID",IF(COUNTIF(Screening!$B$2:$B$236,Screening!B223)&gt;1,"DUPLICATE","OK"))))</f>
        <v>OK</v>
      </c>
      <c r="C269" s="1" t="str">
        <f>IF(AND(LEN(Screening!B223)=0,LEN(Screening!D223)=0),"",IF(AND(B269="OK",ISNUMBER(Screening!D223),Screening!C223="yes",Screening!F223&lt;&gt;"",COUNTIF(Sessions!$A$2:$A$21,Screening!I223)=1,Screening!E223&lt;&gt;"",Screening!G223&lt;&gt;"",Screening!H223=$B$16),"OK","REVIEW"))</f>
        <v>OK</v>
      </c>
      <c r="D269" s="1" t="str">
        <f>IF(A269=Screening!A223,"OK","CHANGED")</f>
        <v>OK</v>
      </c>
      <c r="E269" s="1"/>
      <c r="F269" s="1">
        <v>222</v>
      </c>
      <c r="G269" s="1">
        <f>SUMIF(Screening!$B$2:$B$236,F269,$H$48:$H$282)</f>
        <v>1</v>
      </c>
      <c r="H269" s="1">
        <f>IF(ISNUMBER(Screening!D223),1,0)</f>
        <v>1</v>
      </c>
    </row>
    <row r="270" spans="1:8" ht="23.1" customHeight="1">
      <c r="A270" s="1">
        <v>223</v>
      </c>
      <c r="B270" s="1" t="str">
        <f>IF(AND(LEN(Screening!B224)=0,LEN(Screening!D224)=0),"",IF(LEN(Screening!B224)=0,"MISSING",IF(OR(NOT(ISNUMBER(Screening!B224)),COUNTIF($F$48:$F$282,Screening!B224)&lt;&gt;1),"INVALID",IF(COUNTIF(Screening!$B$2:$B$236,Screening!B224)&gt;1,"DUPLICATE","OK"))))</f>
        <v>OK</v>
      </c>
      <c r="C270" s="1" t="str">
        <f>IF(AND(LEN(Screening!B224)=0,LEN(Screening!D224)=0),"",IF(AND(B270="OK",ISNUMBER(Screening!D224),Screening!C224="yes",Screening!F224&lt;&gt;"",COUNTIF(Sessions!$A$2:$A$21,Screening!I224)=1,Screening!E224&lt;&gt;"",Screening!G224&lt;&gt;"",Screening!H224=$B$16),"OK","REVIEW"))</f>
        <v>OK</v>
      </c>
      <c r="D270" s="1" t="str">
        <f>IF(A270=Screening!A224,"OK","CHANGED")</f>
        <v>OK</v>
      </c>
      <c r="E270" s="1"/>
      <c r="F270" s="1">
        <v>223</v>
      </c>
      <c r="G270" s="1">
        <f>SUMIF(Screening!$B$2:$B$236,F270,$H$48:$H$282)</f>
        <v>1</v>
      </c>
      <c r="H270" s="1">
        <f>IF(ISNUMBER(Screening!D224),1,0)</f>
        <v>1</v>
      </c>
    </row>
    <row r="271" spans="1:8" ht="23.1" customHeight="1">
      <c r="A271" s="1">
        <v>224</v>
      </c>
      <c r="B271" s="1" t="str">
        <f>IF(AND(LEN(Screening!B225)=0,LEN(Screening!D225)=0),"",IF(LEN(Screening!B225)=0,"MISSING",IF(OR(NOT(ISNUMBER(Screening!B225)),COUNTIF($F$48:$F$282,Screening!B225)&lt;&gt;1),"INVALID",IF(COUNTIF(Screening!$B$2:$B$236,Screening!B225)&gt;1,"DUPLICATE","OK"))))</f>
        <v>OK</v>
      </c>
      <c r="C271" s="1" t="str">
        <f>IF(AND(LEN(Screening!B225)=0,LEN(Screening!D225)=0),"",IF(AND(B271="OK",ISNUMBER(Screening!D225),Screening!C225="yes",Screening!F225&lt;&gt;"",COUNTIF(Sessions!$A$2:$A$21,Screening!I225)=1,Screening!E225&lt;&gt;"",Screening!G225&lt;&gt;"",Screening!H225=$B$16),"OK","REVIEW"))</f>
        <v>OK</v>
      </c>
      <c r="D271" s="1" t="str">
        <f>IF(A271=Screening!A225,"OK","CHANGED")</f>
        <v>OK</v>
      </c>
      <c r="E271" s="1"/>
      <c r="F271" s="1">
        <v>224</v>
      </c>
      <c r="G271" s="1">
        <f>SUMIF(Screening!$B$2:$B$236,F271,$H$48:$H$282)</f>
        <v>1</v>
      </c>
      <c r="H271" s="1">
        <f>IF(ISNUMBER(Screening!D225),1,0)</f>
        <v>1</v>
      </c>
    </row>
    <row r="272" spans="1:8" ht="23.1" customHeight="1">
      <c r="A272" s="1">
        <v>225</v>
      </c>
      <c r="B272" s="1" t="str">
        <f>IF(AND(LEN(Screening!B226)=0,LEN(Screening!D226)=0),"",IF(LEN(Screening!B226)=0,"MISSING",IF(OR(NOT(ISNUMBER(Screening!B226)),COUNTIF($F$48:$F$282,Screening!B226)&lt;&gt;1),"INVALID",IF(COUNTIF(Screening!$B$2:$B$236,Screening!B226)&gt;1,"DUPLICATE","OK"))))</f>
        <v>OK</v>
      </c>
      <c r="C272" s="1" t="str">
        <f>IF(AND(LEN(Screening!B226)=0,LEN(Screening!D226)=0),"",IF(AND(B272="OK",ISNUMBER(Screening!D226),Screening!C226="yes",Screening!F226&lt;&gt;"",COUNTIF(Sessions!$A$2:$A$21,Screening!I226)=1,Screening!E226&lt;&gt;"",Screening!G226&lt;&gt;"",Screening!H226=$B$16),"OK","REVIEW"))</f>
        <v>OK</v>
      </c>
      <c r="D272" s="1" t="str">
        <f>IF(A272=Screening!A226,"OK","CHANGED")</f>
        <v>OK</v>
      </c>
      <c r="E272" s="1"/>
      <c r="F272" s="1">
        <v>225</v>
      </c>
      <c r="G272" s="1">
        <f>SUMIF(Screening!$B$2:$B$236,F272,$H$48:$H$282)</f>
        <v>1</v>
      </c>
      <c r="H272" s="1">
        <f>IF(ISNUMBER(Screening!D226),1,0)</f>
        <v>1</v>
      </c>
    </row>
    <row r="273" spans="1:8" ht="23.1" customHeight="1">
      <c r="A273" s="1">
        <v>226</v>
      </c>
      <c r="B273" s="1" t="str">
        <f>IF(AND(LEN(Screening!B227)=0,LEN(Screening!D227)=0),"",IF(LEN(Screening!B227)=0,"MISSING",IF(OR(NOT(ISNUMBER(Screening!B227)),COUNTIF($F$48:$F$282,Screening!B227)&lt;&gt;1),"INVALID",IF(COUNTIF(Screening!$B$2:$B$236,Screening!B227)&gt;1,"DUPLICATE","OK"))))</f>
        <v>OK</v>
      </c>
      <c r="C273" s="1" t="str">
        <f>IF(AND(LEN(Screening!B227)=0,LEN(Screening!D227)=0),"",IF(AND(B273="OK",ISNUMBER(Screening!D227),Screening!C227="yes",Screening!F227&lt;&gt;"",COUNTIF(Sessions!$A$2:$A$21,Screening!I227)=1,Screening!E227&lt;&gt;"",Screening!G227&lt;&gt;"",Screening!H227=$B$16),"OK","REVIEW"))</f>
        <v>OK</v>
      </c>
      <c r="D273" s="1" t="str">
        <f>IF(A273=Screening!A227,"OK","CHANGED")</f>
        <v>OK</v>
      </c>
      <c r="E273" s="1"/>
      <c r="F273" s="1">
        <v>226</v>
      </c>
      <c r="G273" s="1">
        <f>SUMIF(Screening!$B$2:$B$236,F273,$H$48:$H$282)</f>
        <v>1</v>
      </c>
      <c r="H273" s="1">
        <f>IF(ISNUMBER(Screening!D227),1,0)</f>
        <v>1</v>
      </c>
    </row>
    <row r="274" spans="1:8" ht="23.1" customHeight="1">
      <c r="A274" s="1">
        <v>227</v>
      </c>
      <c r="B274" s="1" t="str">
        <f>IF(AND(LEN(Screening!B228)=0,LEN(Screening!D228)=0),"",IF(LEN(Screening!B228)=0,"MISSING",IF(OR(NOT(ISNUMBER(Screening!B228)),COUNTIF($F$48:$F$282,Screening!B228)&lt;&gt;1),"INVALID",IF(COUNTIF(Screening!$B$2:$B$236,Screening!B228)&gt;1,"DUPLICATE","OK"))))</f>
        <v>OK</v>
      </c>
      <c r="C274" s="1" t="str">
        <f>IF(AND(LEN(Screening!B228)=0,LEN(Screening!D228)=0),"",IF(AND(B274="OK",ISNUMBER(Screening!D228),Screening!C228="yes",Screening!F228&lt;&gt;"",COUNTIF(Sessions!$A$2:$A$21,Screening!I228)=1,Screening!E228&lt;&gt;"",Screening!G228&lt;&gt;"",Screening!H228=$B$16),"OK","REVIEW"))</f>
        <v>OK</v>
      </c>
      <c r="D274" s="1" t="str">
        <f>IF(A274=Screening!A228,"OK","CHANGED")</f>
        <v>OK</v>
      </c>
      <c r="E274" s="1"/>
      <c r="F274" s="1">
        <v>227</v>
      </c>
      <c r="G274" s="1">
        <f>SUMIF(Screening!$B$2:$B$236,F274,$H$48:$H$282)</f>
        <v>1</v>
      </c>
      <c r="H274" s="1">
        <f>IF(ISNUMBER(Screening!D228),1,0)</f>
        <v>1</v>
      </c>
    </row>
    <row r="275" spans="1:8" ht="23.1" customHeight="1">
      <c r="A275" s="1">
        <v>228</v>
      </c>
      <c r="B275" s="1" t="str">
        <f>IF(AND(LEN(Screening!B229)=0,LEN(Screening!D229)=0),"",IF(LEN(Screening!B229)=0,"MISSING",IF(OR(NOT(ISNUMBER(Screening!B229)),COUNTIF($F$48:$F$282,Screening!B229)&lt;&gt;1),"INVALID",IF(COUNTIF(Screening!$B$2:$B$236,Screening!B229)&gt;1,"DUPLICATE","OK"))))</f>
        <v>OK</v>
      </c>
      <c r="C275" s="1" t="str">
        <f>IF(AND(LEN(Screening!B229)=0,LEN(Screening!D229)=0),"",IF(AND(B275="OK",ISNUMBER(Screening!D229),Screening!C229="yes",Screening!F229&lt;&gt;"",COUNTIF(Sessions!$A$2:$A$21,Screening!I229)=1,Screening!E229&lt;&gt;"",Screening!G229&lt;&gt;"",Screening!H229=$B$16),"OK","REVIEW"))</f>
        <v>OK</v>
      </c>
      <c r="D275" s="1" t="str">
        <f>IF(A275=Screening!A229,"OK","CHANGED")</f>
        <v>OK</v>
      </c>
      <c r="E275" s="1"/>
      <c r="F275" s="1">
        <v>228</v>
      </c>
      <c r="G275" s="1">
        <f>SUMIF(Screening!$B$2:$B$236,F275,$H$48:$H$282)</f>
        <v>1</v>
      </c>
      <c r="H275" s="1">
        <f>IF(ISNUMBER(Screening!D229),1,0)</f>
        <v>1</v>
      </c>
    </row>
    <row r="276" spans="1:8" ht="23.1" customHeight="1">
      <c r="A276" s="1">
        <v>229</v>
      </c>
      <c r="B276" s="1" t="str">
        <f>IF(AND(LEN(Screening!B230)=0,LEN(Screening!D230)=0),"",IF(LEN(Screening!B230)=0,"MISSING",IF(OR(NOT(ISNUMBER(Screening!B230)),COUNTIF($F$48:$F$282,Screening!B230)&lt;&gt;1),"INVALID",IF(COUNTIF(Screening!$B$2:$B$236,Screening!B230)&gt;1,"DUPLICATE","OK"))))</f>
        <v>OK</v>
      </c>
      <c r="C276" s="1" t="str">
        <f>IF(AND(LEN(Screening!B230)=0,LEN(Screening!D230)=0),"",IF(AND(B276="OK",ISNUMBER(Screening!D230),Screening!C230="yes",Screening!F230&lt;&gt;"",COUNTIF(Sessions!$A$2:$A$21,Screening!I230)=1,Screening!E230&lt;&gt;"",Screening!G230&lt;&gt;"",Screening!H230=$B$16),"OK","REVIEW"))</f>
        <v>OK</v>
      </c>
      <c r="D276" s="1" t="str">
        <f>IF(A276=Screening!A230,"OK","CHANGED")</f>
        <v>OK</v>
      </c>
      <c r="E276" s="1"/>
      <c r="F276" s="1">
        <v>229</v>
      </c>
      <c r="G276" s="1">
        <f>SUMIF(Screening!$B$2:$B$236,F276,$H$48:$H$282)</f>
        <v>1</v>
      </c>
      <c r="H276" s="1">
        <f>IF(ISNUMBER(Screening!D230),1,0)</f>
        <v>1</v>
      </c>
    </row>
    <row r="277" spans="1:8">
      <c r="A277">
        <v>230</v>
      </c>
      <c r="B277" t="str">
        <f>IF(AND(LEN(Screening!B231)=0,LEN(Screening!D231)=0),"",IF(LEN(Screening!B231)=0,"MISSING",IF(OR(NOT(ISNUMBER(Screening!B231)),COUNTIF($F$48:$F$282,Screening!B231)&lt;&gt;1),"INVALID",IF(COUNTIF(Screening!$B$2:$B$236,Screening!B231)&gt;1,"DUPLICATE","OK"))))</f>
        <v>OK</v>
      </c>
      <c r="C277" t="str">
        <f>IF(AND(LEN(Screening!B231)=0,LEN(Screening!D231)=0),"",IF(AND(B277="OK",ISNUMBER(Screening!D231),Screening!C231="yes",Screening!F231&lt;&gt;"",COUNTIF(Sessions!$A$2:$A$21,Screening!I231)=1,Screening!E231&lt;&gt;"",Screening!G231&lt;&gt;"",Screening!H231=$B$16),"OK","REVIEW"))</f>
        <v>OK</v>
      </c>
      <c r="D277" t="str">
        <f>IF(A277=Screening!A231,"OK","CHANGED")</f>
        <v>OK</v>
      </c>
      <c r="F277">
        <v>230</v>
      </c>
      <c r="G277">
        <f>SUMIF(Screening!$B$2:$B$236,F277,$H$48:$H$282)</f>
        <v>1</v>
      </c>
      <c r="H277">
        <f>IF(ISNUMBER(Screening!D231),1,0)</f>
        <v>1</v>
      </c>
    </row>
    <row r="278" spans="1:8">
      <c r="A278">
        <v>231</v>
      </c>
      <c r="B278" t="str">
        <f>IF(AND(LEN(Screening!B232)=0,LEN(Screening!D232)=0),"",IF(LEN(Screening!B232)=0,"MISSING",IF(OR(NOT(ISNUMBER(Screening!B232)),COUNTIF($F$48:$F$282,Screening!B232)&lt;&gt;1),"INVALID",IF(COUNTIF(Screening!$B$2:$B$236,Screening!B232)&gt;1,"DUPLICATE","OK"))))</f>
        <v>OK</v>
      </c>
      <c r="C278" t="str">
        <f>IF(AND(LEN(Screening!B232)=0,LEN(Screening!D232)=0),"",IF(AND(B278="OK",ISNUMBER(Screening!D232),Screening!C232="yes",Screening!F232&lt;&gt;"",COUNTIF(Sessions!$A$2:$A$21,Screening!I232)=1,Screening!E232&lt;&gt;"",Screening!G232&lt;&gt;"",Screening!H232=$B$16),"OK","REVIEW"))</f>
        <v>OK</v>
      </c>
      <c r="D278" t="str">
        <f>IF(A278=Screening!A232,"OK","CHANGED")</f>
        <v>OK</v>
      </c>
      <c r="F278">
        <v>231</v>
      </c>
      <c r="G278">
        <f>SUMIF(Screening!$B$2:$B$236,F278,$H$48:$H$282)</f>
        <v>1</v>
      </c>
      <c r="H278">
        <f>IF(ISNUMBER(Screening!D232),1,0)</f>
        <v>1</v>
      </c>
    </row>
    <row r="279" spans="1:8">
      <c r="A279">
        <v>232</v>
      </c>
      <c r="B279" t="str">
        <f>IF(AND(LEN(Screening!B233)=0,LEN(Screening!D233)=0),"",IF(LEN(Screening!B233)=0,"MISSING",IF(OR(NOT(ISNUMBER(Screening!B233)),COUNTIF($F$48:$F$282,Screening!B233)&lt;&gt;1),"INVALID",IF(COUNTIF(Screening!$B$2:$B$236,Screening!B233)&gt;1,"DUPLICATE","OK"))))</f>
        <v>OK</v>
      </c>
      <c r="C279" t="str">
        <f>IF(AND(LEN(Screening!B233)=0,LEN(Screening!D233)=0),"",IF(AND(B279="OK",ISNUMBER(Screening!D233),Screening!C233="yes",Screening!F233&lt;&gt;"",COUNTIF(Sessions!$A$2:$A$21,Screening!I233)=1,Screening!E233&lt;&gt;"",Screening!G233&lt;&gt;"",Screening!H233=$B$16),"OK","REVIEW"))</f>
        <v>OK</v>
      </c>
      <c r="D279" t="str">
        <f>IF(A279=Screening!A233,"OK","CHANGED")</f>
        <v>OK</v>
      </c>
      <c r="F279">
        <v>232</v>
      </c>
      <c r="G279">
        <f>SUMIF(Screening!$B$2:$B$236,F279,$H$48:$H$282)</f>
        <v>1</v>
      </c>
      <c r="H279">
        <f>IF(ISNUMBER(Screening!D233),1,0)</f>
        <v>1</v>
      </c>
    </row>
    <row r="280" spans="1:8">
      <c r="A280">
        <v>233</v>
      </c>
      <c r="B280" t="str">
        <f>IF(AND(LEN(Screening!B234)=0,LEN(Screening!D234)=0),"",IF(LEN(Screening!B234)=0,"MISSING",IF(OR(NOT(ISNUMBER(Screening!B234)),COUNTIF($F$48:$F$282,Screening!B234)&lt;&gt;1),"INVALID",IF(COUNTIF(Screening!$B$2:$B$236,Screening!B234)&gt;1,"DUPLICATE","OK"))))</f>
        <v>OK</v>
      </c>
      <c r="C280" t="str">
        <f>IF(AND(LEN(Screening!B234)=0,LEN(Screening!D234)=0),"",IF(AND(B280="OK",ISNUMBER(Screening!D234),Screening!C234="yes",Screening!F234&lt;&gt;"",COUNTIF(Sessions!$A$2:$A$21,Screening!I234)=1,Screening!E234&lt;&gt;"",Screening!G234&lt;&gt;"",Screening!H234=$B$16),"OK","REVIEW"))</f>
        <v>OK</v>
      </c>
      <c r="D280" t="str">
        <f>IF(A280=Screening!A234,"OK","CHANGED")</f>
        <v>OK</v>
      </c>
      <c r="F280">
        <v>233</v>
      </c>
      <c r="G280">
        <f>SUMIF(Screening!$B$2:$B$236,F280,$H$48:$H$282)</f>
        <v>1</v>
      </c>
      <c r="H280">
        <f>IF(ISNUMBER(Screening!D234),1,0)</f>
        <v>1</v>
      </c>
    </row>
    <row r="281" spans="1:8">
      <c r="A281">
        <v>234</v>
      </c>
      <c r="B281" t="str">
        <f>IF(AND(LEN(Screening!B235)=0,LEN(Screening!D235)=0),"",IF(LEN(Screening!B235)=0,"MISSING",IF(OR(NOT(ISNUMBER(Screening!B235)),COUNTIF($F$48:$F$282,Screening!B235)&lt;&gt;1),"INVALID",IF(COUNTIF(Screening!$B$2:$B$236,Screening!B235)&gt;1,"DUPLICATE","OK"))))</f>
        <v>OK</v>
      </c>
      <c r="C281" t="str">
        <f>IF(AND(LEN(Screening!B235)=0,LEN(Screening!D235)=0),"",IF(AND(B281="OK",ISNUMBER(Screening!D235),Screening!C235="yes",Screening!F235&lt;&gt;"",COUNTIF(Sessions!$A$2:$A$21,Screening!I235)=1,Screening!E235&lt;&gt;"",Screening!G235&lt;&gt;"",Screening!H235=$B$16),"OK","REVIEW"))</f>
        <v>OK</v>
      </c>
      <c r="D281" t="str">
        <f>IF(A281=Screening!A235,"OK","CHANGED")</f>
        <v>OK</v>
      </c>
      <c r="F281">
        <v>234</v>
      </c>
      <c r="G281">
        <f>SUMIF(Screening!$B$2:$B$236,F281,$H$48:$H$282)</f>
        <v>1</v>
      </c>
      <c r="H281">
        <f>IF(ISNUMBER(Screening!D235),1,0)</f>
        <v>1</v>
      </c>
    </row>
    <row r="282" spans="1:8">
      <c r="A282">
        <v>235</v>
      </c>
      <c r="B282" t="str">
        <f>IF(AND(LEN(Screening!B236)=0,LEN(Screening!D236)=0),"",IF(LEN(Screening!B236)=0,"MISSING",IF(OR(NOT(ISNUMBER(Screening!B236)),COUNTIF($F$48:$F$282,Screening!B236)&lt;&gt;1),"INVALID",IF(COUNTIF(Screening!$B$2:$B$236,Screening!B236)&gt;1,"DUPLICATE","OK"))))</f>
        <v>OK</v>
      </c>
      <c r="C282" t="str">
        <f>IF(AND(LEN(Screening!B236)=0,LEN(Screening!D236)=0),"",IF(AND(B282="OK",ISNUMBER(Screening!D236),Screening!C236="yes",Screening!F236&lt;&gt;"",COUNTIF(Sessions!$A$2:$A$21,Screening!I236)=1,Screening!E236&lt;&gt;"",Screening!G236&lt;&gt;"",Screening!H236=$B$16),"OK","REVIEW"))</f>
        <v>OK</v>
      </c>
      <c r="D282" t="str">
        <f>IF(A282=Screening!A236,"OK","CHANGED")</f>
        <v>OK</v>
      </c>
      <c r="F282">
        <v>235</v>
      </c>
      <c r="G282">
        <f>SUMIF(Screening!$B$2:$B$236,F282,$H$48:$H$282)</f>
        <v>1</v>
      </c>
      <c r="H282">
        <f>IF(ISNUMBER(Screening!D236),1,0)</f>
        <v>1</v>
      </c>
    </row>
  </sheetData>
  <mergeCells count="13">
    <mergeCell ref="A1:H1"/>
    <mergeCell ref="A3:H3"/>
    <mergeCell ref="A4:H4"/>
    <mergeCell ref="A5:H5"/>
    <mergeCell ref="A6:H6"/>
    <mergeCell ref="A12:H12"/>
    <mergeCell ref="D14:H14"/>
    <mergeCell ref="D20:H22"/>
    <mergeCell ref="A7:H7"/>
    <mergeCell ref="A8:H8"/>
    <mergeCell ref="A9:H9"/>
    <mergeCell ref="A10:H10"/>
    <mergeCell ref="A11:H11"/>
  </mergeCells>
  <conditionalFormatting sqref="B48:B282">
    <cfRule type="expression" dxfId="9" priority="5">
      <formula>AND(LEN(B48)&gt;0,B48&lt;&gt;"OK")</formula>
    </cfRule>
  </conditionalFormatting>
  <conditionalFormatting sqref="C48:D282">
    <cfRule type="containsText" dxfId="8" priority="3" operator="containsText" text="REVIEW"/>
    <cfRule type="containsText" dxfId="7" priority="4" operator="containsText" text="CHANGED"/>
  </conditionalFormatting>
  <conditionalFormatting sqref="E25:G44">
    <cfRule type="containsText" dxfId="6" priority="1" operator="containsText" text="FAIL"/>
    <cfRule type="containsText" dxfId="5" priority="2" operator="containsText" text="WITHIN LIMITS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36"/>
  <sheetViews>
    <sheetView showGridLines="0" workbookViewId="0">
      <selection sqref="A1:A1048576"/>
    </sheetView>
  </sheetViews>
  <sheetFormatPr defaultRowHeight="14.25"/>
  <cols>
    <col min="1" max="1" width="20" customWidth="1"/>
    <col min="2" max="2" width="12" customWidth="1"/>
    <col min="3" max="3" width="27" customWidth="1"/>
    <col min="4" max="4" width="21" customWidth="1"/>
    <col min="5" max="5" width="19" customWidth="1"/>
    <col min="6" max="6" width="16" customWidth="1"/>
    <col min="7" max="9" width="25" customWidth="1"/>
    <col min="10" max="15" width="19" customWidth="1"/>
    <col min="16" max="16" width="45" customWidth="1"/>
  </cols>
  <sheetData>
    <row r="1" spans="1:16" ht="57.95" customHeight="1">
      <c r="A1" s="2" t="s">
        <v>45</v>
      </c>
      <c r="B1" s="2" t="s">
        <v>46</v>
      </c>
      <c r="C1" s="2" t="s">
        <v>47</v>
      </c>
      <c r="D1" s="2" t="s">
        <v>48</v>
      </c>
      <c r="E1" s="2" t="s">
        <v>49</v>
      </c>
      <c r="F1" s="2" t="s">
        <v>50</v>
      </c>
      <c r="G1" s="2" t="s">
        <v>51</v>
      </c>
      <c r="H1" s="2" t="s">
        <v>52</v>
      </c>
      <c r="I1" s="2" t="s">
        <v>53</v>
      </c>
      <c r="J1" s="2" t="s">
        <v>54</v>
      </c>
      <c r="K1" s="2" t="s">
        <v>55</v>
      </c>
      <c r="L1" s="2" t="s">
        <v>56</v>
      </c>
      <c r="M1" s="2" t="s">
        <v>57</v>
      </c>
      <c r="N1" s="2" t="s">
        <v>58</v>
      </c>
      <c r="O1" s="2" t="s">
        <v>59</v>
      </c>
      <c r="P1" s="2" t="s">
        <v>60</v>
      </c>
    </row>
    <row r="2" spans="1:16" ht="23.1" customHeight="1">
      <c r="A2" s="3">
        <v>1</v>
      </c>
      <c r="B2" s="5">
        <v>178</v>
      </c>
      <c r="C2" s="4" t="s">
        <v>82</v>
      </c>
      <c r="D2" s="6">
        <v>0.996</v>
      </c>
      <c r="E2" s="8">
        <f>IF(OR($I2="",$D2=""),"",IFERROR(IF(VLOOKUP($I2,Sessions!$A$2:$W$21,2,FALSE)="","",VLOOKUP($I2,Sessions!$A$2:$W$21,2,FALSE)),""))</f>
        <v>46268</v>
      </c>
      <c r="F2" s="9">
        <v>0.73263888888888884</v>
      </c>
      <c r="G2" s="3" t="str">
        <f>IF(OR($I2="",$D2=""),"",IFERROR(IF(VLOOKUP($I2,Sessions!$A$2:$W$21,5,FALSE)="","",VLOOKUP($I2,Sessions!$A$2:$W$21,5,FALSE)),""))</f>
        <v>Timmy D. Bell</v>
      </c>
      <c r="H2" s="3" t="s">
        <v>18</v>
      </c>
      <c r="I2" s="4">
        <v>1</v>
      </c>
      <c r="J2" s="7">
        <f>IF(OR($I2="",$D2=""),"",IFERROR(IF(VLOOKUP($I2,Sessions!$A$2:$W$21,13,FALSE)="","",VLOOKUP($I2,Sessions!$A$2:$W$21,13,FALSE)),""))</f>
        <v>1</v>
      </c>
      <c r="K2" s="7">
        <f>IF(OR($I2="",$D2=""),"",IFERROR(IF(VLOOKUP($I2,Sessions!$A$2:$W$21,20,FALSE)="","",VLOOKUP($I2,Sessions!$A$2:$W$21,20,FALSE)),""))</f>
        <v>1</v>
      </c>
      <c r="L2" s="3"/>
      <c r="M2" s="3"/>
      <c r="N2" s="3"/>
      <c r="O2" s="3"/>
      <c r="P2" s="4"/>
    </row>
    <row r="3" spans="1:16" ht="23.1" customHeight="1">
      <c r="A3" s="3">
        <v>2</v>
      </c>
      <c r="B3" s="5">
        <v>187</v>
      </c>
      <c r="C3" s="4" t="s">
        <v>82</v>
      </c>
      <c r="D3" s="6">
        <v>0.99950000000000006</v>
      </c>
      <c r="E3" s="8">
        <f>IF(OR($I3="",$D3=""),"",IFERROR(IF(VLOOKUP($I3,Sessions!$A$2:$W$21,2,FALSE)="","",VLOOKUP($I3,Sessions!$A$2:$W$21,2,FALSE)),""))</f>
        <v>46268</v>
      </c>
      <c r="F3" s="9">
        <v>0.73333333333333328</v>
      </c>
      <c r="G3" s="3" t="str">
        <f>IF(OR($I3="",$D3=""),"",IFERROR(IF(VLOOKUP($I3,Sessions!$A$2:$W$21,5,FALSE)="","",VLOOKUP($I3,Sessions!$A$2:$W$21,5,FALSE)),""))</f>
        <v>Timmy D. Bell</v>
      </c>
      <c r="H3" s="3" t="s">
        <v>18</v>
      </c>
      <c r="I3" s="4">
        <v>1</v>
      </c>
      <c r="J3" s="7">
        <f>IF(OR($I3="",$D3=""),"",IFERROR(IF(VLOOKUP($I3,Sessions!$A$2:$W$21,13,FALSE)="","",VLOOKUP($I3,Sessions!$A$2:$W$21,13,FALSE)),""))</f>
        <v>1</v>
      </c>
      <c r="K3" s="7">
        <f>IF(OR($I3="",$D3=""),"",IFERROR(IF(VLOOKUP($I3,Sessions!$A$2:$W$21,20,FALSE)="","",VLOOKUP($I3,Sessions!$A$2:$W$21,20,FALSE)),""))</f>
        <v>1</v>
      </c>
      <c r="L3" s="3"/>
      <c r="M3" s="3"/>
      <c r="N3" s="3"/>
      <c r="O3" s="3"/>
      <c r="P3" s="4"/>
    </row>
    <row r="4" spans="1:16" ht="23.1" customHeight="1">
      <c r="A4" s="3">
        <v>3</v>
      </c>
      <c r="B4" s="5">
        <v>121</v>
      </c>
      <c r="C4" s="4" t="s">
        <v>82</v>
      </c>
      <c r="D4" s="6">
        <v>0.99950000000000006</v>
      </c>
      <c r="E4" s="8">
        <f>IF(OR($I4="",$D4=""),"",IFERROR(IF(VLOOKUP($I4,Sessions!$A$2:$W$21,2,FALSE)="","",VLOOKUP($I4,Sessions!$A$2:$W$21,2,FALSE)),""))</f>
        <v>46268</v>
      </c>
      <c r="F4" s="9">
        <v>0.73541666666666672</v>
      </c>
      <c r="G4" s="3" t="str">
        <f>IF(OR($I4="",$D4=""),"",IFERROR(IF(VLOOKUP($I4,Sessions!$A$2:$W$21,5,FALSE)="","",VLOOKUP($I4,Sessions!$A$2:$W$21,5,FALSE)),""))</f>
        <v>Timmy D. Bell</v>
      </c>
      <c r="H4" s="3" t="s">
        <v>18</v>
      </c>
      <c r="I4" s="4">
        <v>1</v>
      </c>
      <c r="J4" s="7">
        <f>IF(OR($I4="",$D4=""),"",IFERROR(IF(VLOOKUP($I4,Sessions!$A$2:$W$21,13,FALSE)="","",VLOOKUP($I4,Sessions!$A$2:$W$21,13,FALSE)),""))</f>
        <v>1</v>
      </c>
      <c r="K4" s="7">
        <f>IF(OR($I4="",$D4=""),"",IFERROR(IF(VLOOKUP($I4,Sessions!$A$2:$W$21,20,FALSE)="","",VLOOKUP($I4,Sessions!$A$2:$W$21,20,FALSE)),""))</f>
        <v>1</v>
      </c>
      <c r="L4" s="3"/>
      <c r="M4" s="3"/>
      <c r="N4" s="3"/>
      <c r="O4" s="3"/>
      <c r="P4" s="4"/>
    </row>
    <row r="5" spans="1:16" ht="23.1" customHeight="1">
      <c r="A5" s="3">
        <v>4</v>
      </c>
      <c r="B5" s="5">
        <v>197</v>
      </c>
      <c r="C5" s="4" t="s">
        <v>82</v>
      </c>
      <c r="D5" s="6">
        <v>0.99850000000000005</v>
      </c>
      <c r="E5" s="8">
        <f>IF(OR($I5="",$D5=""),"",IFERROR(IF(VLOOKUP($I5,Sessions!$A$2:$W$21,2,FALSE)="","",VLOOKUP($I5,Sessions!$A$2:$W$21,2,FALSE)),""))</f>
        <v>46268</v>
      </c>
      <c r="F5" s="9">
        <v>0.73541666666666672</v>
      </c>
      <c r="G5" s="3" t="str">
        <f>IF(OR($I5="",$D5=""),"",IFERROR(IF(VLOOKUP($I5,Sessions!$A$2:$W$21,5,FALSE)="","",VLOOKUP($I5,Sessions!$A$2:$W$21,5,FALSE)),""))</f>
        <v>Timmy D. Bell</v>
      </c>
      <c r="H5" s="3" t="s">
        <v>18</v>
      </c>
      <c r="I5" s="4">
        <v>1</v>
      </c>
      <c r="J5" s="7">
        <f>IF(OR($I5="",$D5=""),"",IFERROR(IF(VLOOKUP($I5,Sessions!$A$2:$W$21,13,FALSE)="","",VLOOKUP($I5,Sessions!$A$2:$W$21,13,FALSE)),""))</f>
        <v>1</v>
      </c>
      <c r="K5" s="7">
        <f>IF(OR($I5="",$D5=""),"",IFERROR(IF(VLOOKUP($I5,Sessions!$A$2:$W$21,20,FALSE)="","",VLOOKUP($I5,Sessions!$A$2:$W$21,20,FALSE)),""))</f>
        <v>1</v>
      </c>
      <c r="L5" s="3"/>
      <c r="M5" s="3"/>
      <c r="N5" s="3"/>
      <c r="O5" s="3"/>
      <c r="P5" s="4"/>
    </row>
    <row r="6" spans="1:16" ht="23.1" customHeight="1">
      <c r="A6" s="3">
        <v>5</v>
      </c>
      <c r="B6" s="5">
        <v>86</v>
      </c>
      <c r="C6" s="4" t="s">
        <v>82</v>
      </c>
      <c r="D6" s="6">
        <v>1.0085</v>
      </c>
      <c r="E6" s="8">
        <f>IF(OR($I6="",$D6=""),"",IFERROR(IF(VLOOKUP($I6,Sessions!$A$2:$W$21,2,FALSE)="","",VLOOKUP($I6,Sessions!$A$2:$W$21,2,FALSE)),""))</f>
        <v>46268</v>
      </c>
      <c r="F6" s="9">
        <v>0.73541666666666672</v>
      </c>
      <c r="G6" s="3" t="str">
        <f>IF(OR($I6="",$D6=""),"",IFERROR(IF(VLOOKUP($I6,Sessions!$A$2:$W$21,5,FALSE)="","",VLOOKUP($I6,Sessions!$A$2:$W$21,5,FALSE)),""))</f>
        <v>Timmy D. Bell</v>
      </c>
      <c r="H6" s="3" t="s">
        <v>18</v>
      </c>
      <c r="I6" s="4">
        <v>1</v>
      </c>
      <c r="J6" s="7">
        <f>IF(OR($I6="",$D6=""),"",IFERROR(IF(VLOOKUP($I6,Sessions!$A$2:$W$21,13,FALSE)="","",VLOOKUP($I6,Sessions!$A$2:$W$21,13,FALSE)),""))</f>
        <v>1</v>
      </c>
      <c r="K6" s="7">
        <f>IF(OR($I6="",$D6=""),"",IFERROR(IF(VLOOKUP($I6,Sessions!$A$2:$W$21,20,FALSE)="","",VLOOKUP($I6,Sessions!$A$2:$W$21,20,FALSE)),""))</f>
        <v>1</v>
      </c>
      <c r="L6" s="3"/>
      <c r="M6" s="3"/>
      <c r="N6" s="3"/>
      <c r="O6" s="3"/>
      <c r="P6" s="4"/>
    </row>
    <row r="7" spans="1:16" ht="23.1" customHeight="1">
      <c r="A7" s="3">
        <v>6</v>
      </c>
      <c r="B7" s="5">
        <v>186</v>
      </c>
      <c r="C7" s="4" t="s">
        <v>82</v>
      </c>
      <c r="D7" s="6">
        <v>1.002</v>
      </c>
      <c r="E7" s="8">
        <f>IF(OR($I7="",$D7=""),"",IFERROR(IF(VLOOKUP($I7,Sessions!$A$2:$W$21,2,FALSE)="","",VLOOKUP($I7,Sessions!$A$2:$W$21,2,FALSE)),""))</f>
        <v>46268</v>
      </c>
      <c r="F7" s="9">
        <v>0.73541666666666672</v>
      </c>
      <c r="G7" s="3" t="str">
        <f>IF(OR($I7="",$D7=""),"",IFERROR(IF(VLOOKUP($I7,Sessions!$A$2:$W$21,5,FALSE)="","",VLOOKUP($I7,Sessions!$A$2:$W$21,5,FALSE)),""))</f>
        <v>Timmy D. Bell</v>
      </c>
      <c r="H7" s="3" t="s">
        <v>18</v>
      </c>
      <c r="I7" s="4">
        <v>1</v>
      </c>
      <c r="J7" s="7">
        <f>IF(OR($I7="",$D7=""),"",IFERROR(IF(VLOOKUP($I7,Sessions!$A$2:$W$21,13,FALSE)="","",VLOOKUP($I7,Sessions!$A$2:$W$21,13,FALSE)),""))</f>
        <v>1</v>
      </c>
      <c r="K7" s="7">
        <f>IF(OR($I7="",$D7=""),"",IFERROR(IF(VLOOKUP($I7,Sessions!$A$2:$W$21,20,FALSE)="","",VLOOKUP($I7,Sessions!$A$2:$W$21,20,FALSE)),""))</f>
        <v>1</v>
      </c>
      <c r="L7" s="3"/>
      <c r="M7" s="3"/>
      <c r="N7" s="3"/>
      <c r="O7" s="3"/>
      <c r="P7" s="4"/>
    </row>
    <row r="8" spans="1:16" ht="23.1" customHeight="1">
      <c r="A8" s="3">
        <v>7</v>
      </c>
      <c r="B8" s="5">
        <v>234</v>
      </c>
      <c r="C8" s="4" t="s">
        <v>82</v>
      </c>
      <c r="D8" s="6">
        <v>0.99050000000000005</v>
      </c>
      <c r="E8" s="8">
        <f>IF(OR($I8="",$D8=""),"",IFERROR(IF(VLOOKUP($I8,Sessions!$A$2:$W$21,2,FALSE)="","",VLOOKUP($I8,Sessions!$A$2:$W$21,2,FALSE)),""))</f>
        <v>46268</v>
      </c>
      <c r="F8" s="9">
        <v>0.73541666666666672</v>
      </c>
      <c r="G8" s="3" t="str">
        <f>IF(OR($I8="",$D8=""),"",IFERROR(IF(VLOOKUP($I8,Sessions!$A$2:$W$21,5,FALSE)="","",VLOOKUP($I8,Sessions!$A$2:$W$21,5,FALSE)),""))</f>
        <v>Timmy D. Bell</v>
      </c>
      <c r="H8" s="3" t="s">
        <v>18</v>
      </c>
      <c r="I8" s="4">
        <v>1</v>
      </c>
      <c r="J8" s="7">
        <f>IF(OR($I8="",$D8=""),"",IFERROR(IF(VLOOKUP($I8,Sessions!$A$2:$W$21,13,FALSE)="","",VLOOKUP($I8,Sessions!$A$2:$W$21,13,FALSE)),""))</f>
        <v>1</v>
      </c>
      <c r="K8" s="7">
        <f>IF(OR($I8="",$D8=""),"",IFERROR(IF(VLOOKUP($I8,Sessions!$A$2:$W$21,20,FALSE)="","",VLOOKUP($I8,Sessions!$A$2:$W$21,20,FALSE)),""))</f>
        <v>1</v>
      </c>
      <c r="L8" s="3"/>
      <c r="M8" s="3"/>
      <c r="N8" s="3"/>
      <c r="O8" s="3"/>
      <c r="P8" s="4"/>
    </row>
    <row r="9" spans="1:16" ht="23.1" customHeight="1">
      <c r="A9" s="3">
        <v>8</v>
      </c>
      <c r="B9" s="5">
        <v>193</v>
      </c>
      <c r="C9" s="4" t="s">
        <v>82</v>
      </c>
      <c r="D9" s="6">
        <v>1.0085</v>
      </c>
      <c r="E9" s="8">
        <f>IF(OR($I9="",$D9=""),"",IFERROR(IF(VLOOKUP($I9,Sessions!$A$2:$W$21,2,FALSE)="","",VLOOKUP($I9,Sessions!$A$2:$W$21,2,FALSE)),""))</f>
        <v>46268</v>
      </c>
      <c r="F9" s="9">
        <v>0.73541666666666672</v>
      </c>
      <c r="G9" s="3" t="str">
        <f>IF(OR($I9="",$D9=""),"",IFERROR(IF(VLOOKUP($I9,Sessions!$A$2:$W$21,5,FALSE)="","",VLOOKUP($I9,Sessions!$A$2:$W$21,5,FALSE)),""))</f>
        <v>Timmy D. Bell</v>
      </c>
      <c r="H9" s="3" t="s">
        <v>18</v>
      </c>
      <c r="I9" s="4">
        <v>1</v>
      </c>
      <c r="J9" s="7">
        <f>IF(OR($I9="",$D9=""),"",IFERROR(IF(VLOOKUP($I9,Sessions!$A$2:$W$21,13,FALSE)="","",VLOOKUP($I9,Sessions!$A$2:$W$21,13,FALSE)),""))</f>
        <v>1</v>
      </c>
      <c r="K9" s="7">
        <f>IF(OR($I9="",$D9=""),"",IFERROR(IF(VLOOKUP($I9,Sessions!$A$2:$W$21,20,FALSE)="","",VLOOKUP($I9,Sessions!$A$2:$W$21,20,FALSE)),""))</f>
        <v>1</v>
      </c>
      <c r="L9" s="3"/>
      <c r="M9" s="3"/>
      <c r="N9" s="3"/>
      <c r="O9" s="3"/>
      <c r="P9" s="4"/>
    </row>
    <row r="10" spans="1:16" ht="23.1" customHeight="1">
      <c r="A10" s="3">
        <v>9</v>
      </c>
      <c r="B10" s="5">
        <v>214</v>
      </c>
      <c r="C10" s="4" t="s">
        <v>82</v>
      </c>
      <c r="D10" s="6">
        <v>0.99950000000000006</v>
      </c>
      <c r="E10" s="8">
        <f>IF(OR($I10="",$D10=""),"",IFERROR(IF(VLOOKUP($I10,Sessions!$A$2:$W$21,2,FALSE)="","",VLOOKUP($I10,Sessions!$A$2:$W$21,2,FALSE)),""))</f>
        <v>46268</v>
      </c>
      <c r="F10" s="9">
        <v>0.73611111111111116</v>
      </c>
      <c r="G10" s="3" t="str">
        <f>IF(OR($I10="",$D10=""),"",IFERROR(IF(VLOOKUP($I10,Sessions!$A$2:$W$21,5,FALSE)="","",VLOOKUP($I10,Sessions!$A$2:$W$21,5,FALSE)),""))</f>
        <v>Timmy D. Bell</v>
      </c>
      <c r="H10" s="3" t="s">
        <v>18</v>
      </c>
      <c r="I10" s="4">
        <v>1</v>
      </c>
      <c r="J10" s="7">
        <f>IF(OR($I10="",$D10=""),"",IFERROR(IF(VLOOKUP($I10,Sessions!$A$2:$W$21,13,FALSE)="","",VLOOKUP($I10,Sessions!$A$2:$W$21,13,FALSE)),""))</f>
        <v>1</v>
      </c>
      <c r="K10" s="7">
        <f>IF(OR($I10="",$D10=""),"",IFERROR(IF(VLOOKUP($I10,Sessions!$A$2:$W$21,20,FALSE)="","",VLOOKUP($I10,Sessions!$A$2:$W$21,20,FALSE)),""))</f>
        <v>1</v>
      </c>
      <c r="L10" s="3"/>
      <c r="M10" s="3"/>
      <c r="N10" s="3"/>
      <c r="O10" s="3"/>
      <c r="P10" s="4"/>
    </row>
    <row r="11" spans="1:16" ht="23.1" customHeight="1">
      <c r="A11" s="3">
        <v>10</v>
      </c>
      <c r="B11" s="5">
        <v>139</v>
      </c>
      <c r="C11" s="4" t="s">
        <v>82</v>
      </c>
      <c r="D11" s="6">
        <v>0.99850000000000005</v>
      </c>
      <c r="E11" s="8">
        <f>IF(OR($I11="",$D11=""),"",IFERROR(IF(VLOOKUP($I11,Sessions!$A$2:$W$21,2,FALSE)="","",VLOOKUP($I11,Sessions!$A$2:$W$21,2,FALSE)),""))</f>
        <v>46268</v>
      </c>
      <c r="F11" s="9">
        <v>0.73611111111111116</v>
      </c>
      <c r="G11" s="3" t="str">
        <f>IF(OR($I11="",$D11=""),"",IFERROR(IF(VLOOKUP($I11,Sessions!$A$2:$W$21,5,FALSE)="","",VLOOKUP($I11,Sessions!$A$2:$W$21,5,FALSE)),""))</f>
        <v>Timmy D. Bell</v>
      </c>
      <c r="H11" s="3" t="s">
        <v>18</v>
      </c>
      <c r="I11" s="4">
        <v>1</v>
      </c>
      <c r="J11" s="7">
        <f>IF(OR($I11="",$D11=""),"",IFERROR(IF(VLOOKUP($I11,Sessions!$A$2:$W$21,13,FALSE)="","",VLOOKUP($I11,Sessions!$A$2:$W$21,13,FALSE)),""))</f>
        <v>1</v>
      </c>
      <c r="K11" s="7">
        <f>IF(OR($I11="",$D11=""),"",IFERROR(IF(VLOOKUP($I11,Sessions!$A$2:$W$21,20,FALSE)="","",VLOOKUP($I11,Sessions!$A$2:$W$21,20,FALSE)),""))</f>
        <v>1</v>
      </c>
      <c r="L11" s="3"/>
      <c r="M11" s="3"/>
      <c r="N11" s="3"/>
      <c r="O11" s="3"/>
      <c r="P11" s="4"/>
    </row>
    <row r="12" spans="1:16" ht="23.1" customHeight="1">
      <c r="A12" s="3">
        <v>11</v>
      </c>
      <c r="B12" s="5">
        <v>231</v>
      </c>
      <c r="C12" s="4" t="s">
        <v>82</v>
      </c>
      <c r="D12" s="6">
        <v>0.99150000000000005</v>
      </c>
      <c r="E12" s="8">
        <f>IF(OR($I12="",$D12=""),"",IFERROR(IF(VLOOKUP($I12,Sessions!$A$2:$W$21,2,FALSE)="","",VLOOKUP($I12,Sessions!$A$2:$W$21,2,FALSE)),""))</f>
        <v>46268</v>
      </c>
      <c r="F12" s="9">
        <v>0.7368055555555556</v>
      </c>
      <c r="G12" s="3" t="str">
        <f>IF(OR($I12="",$D12=""),"",IFERROR(IF(VLOOKUP($I12,Sessions!$A$2:$W$21,5,FALSE)="","",VLOOKUP($I12,Sessions!$A$2:$W$21,5,FALSE)),""))</f>
        <v>Timmy D. Bell</v>
      </c>
      <c r="H12" s="3" t="s">
        <v>18</v>
      </c>
      <c r="I12" s="4">
        <v>1</v>
      </c>
      <c r="J12" s="7">
        <f>IF(OR($I12="",$D12=""),"",IFERROR(IF(VLOOKUP($I12,Sessions!$A$2:$W$21,13,FALSE)="","",VLOOKUP($I12,Sessions!$A$2:$W$21,13,FALSE)),""))</f>
        <v>1</v>
      </c>
      <c r="K12" s="7">
        <f>IF(OR($I12="",$D12=""),"",IFERROR(IF(VLOOKUP($I12,Sessions!$A$2:$W$21,20,FALSE)="","",VLOOKUP($I12,Sessions!$A$2:$W$21,20,FALSE)),""))</f>
        <v>1</v>
      </c>
      <c r="L12" s="3"/>
      <c r="M12" s="3"/>
      <c r="N12" s="3"/>
      <c r="O12" s="3"/>
      <c r="P12" s="4"/>
    </row>
    <row r="13" spans="1:16" ht="23.1" customHeight="1">
      <c r="A13" s="3">
        <v>12</v>
      </c>
      <c r="B13" s="5">
        <v>138</v>
      </c>
      <c r="C13" s="4" t="s">
        <v>82</v>
      </c>
      <c r="D13" s="6">
        <v>0.99099999999999999</v>
      </c>
      <c r="E13" s="8">
        <f>IF(OR($I13="",$D13=""),"",IFERROR(IF(VLOOKUP($I13,Sessions!$A$2:$W$21,2,FALSE)="","",VLOOKUP($I13,Sessions!$A$2:$W$21,2,FALSE)),""))</f>
        <v>46268</v>
      </c>
      <c r="F13" s="9">
        <v>0.7368055555555556</v>
      </c>
      <c r="G13" s="3" t="str">
        <f>IF(OR($I13="",$D13=""),"",IFERROR(IF(VLOOKUP($I13,Sessions!$A$2:$W$21,5,FALSE)="","",VLOOKUP($I13,Sessions!$A$2:$W$21,5,FALSE)),""))</f>
        <v>Timmy D. Bell</v>
      </c>
      <c r="H13" s="3" t="s">
        <v>18</v>
      </c>
      <c r="I13" s="4">
        <v>1</v>
      </c>
      <c r="J13" s="7">
        <f>IF(OR($I13="",$D13=""),"",IFERROR(IF(VLOOKUP($I13,Sessions!$A$2:$W$21,13,FALSE)="","",VLOOKUP($I13,Sessions!$A$2:$W$21,13,FALSE)),""))</f>
        <v>1</v>
      </c>
      <c r="K13" s="7">
        <f>IF(OR($I13="",$D13=""),"",IFERROR(IF(VLOOKUP($I13,Sessions!$A$2:$W$21,20,FALSE)="","",VLOOKUP($I13,Sessions!$A$2:$W$21,20,FALSE)),""))</f>
        <v>1</v>
      </c>
      <c r="L13" s="3"/>
      <c r="M13" s="3"/>
      <c r="N13" s="3"/>
      <c r="O13" s="3"/>
      <c r="P13" s="4"/>
    </row>
    <row r="14" spans="1:16" ht="23.1" customHeight="1">
      <c r="A14" s="3">
        <v>13</v>
      </c>
      <c r="B14" s="5">
        <v>207</v>
      </c>
      <c r="C14" s="4" t="s">
        <v>82</v>
      </c>
      <c r="D14" s="6">
        <v>1.004</v>
      </c>
      <c r="E14" s="8">
        <f>IF(OR($I14="",$D14=""),"",IFERROR(IF(VLOOKUP($I14,Sessions!$A$2:$W$21,2,FALSE)="","",VLOOKUP($I14,Sessions!$A$2:$W$21,2,FALSE)),""))</f>
        <v>46268</v>
      </c>
      <c r="F14" s="9">
        <v>0.73750000000000004</v>
      </c>
      <c r="G14" s="3" t="str">
        <f>IF(OR($I14="",$D14=""),"",IFERROR(IF(VLOOKUP($I14,Sessions!$A$2:$W$21,5,FALSE)="","",VLOOKUP($I14,Sessions!$A$2:$W$21,5,FALSE)),""))</f>
        <v>Timmy D. Bell</v>
      </c>
      <c r="H14" s="3" t="s">
        <v>18</v>
      </c>
      <c r="I14" s="4">
        <v>1</v>
      </c>
      <c r="J14" s="7">
        <f>IF(OR($I14="",$D14=""),"",IFERROR(IF(VLOOKUP($I14,Sessions!$A$2:$W$21,13,FALSE)="","",VLOOKUP($I14,Sessions!$A$2:$W$21,13,FALSE)),""))</f>
        <v>1</v>
      </c>
      <c r="K14" s="7">
        <f>IF(OR($I14="",$D14=""),"",IFERROR(IF(VLOOKUP($I14,Sessions!$A$2:$W$21,20,FALSE)="","",VLOOKUP($I14,Sessions!$A$2:$W$21,20,FALSE)),""))</f>
        <v>1</v>
      </c>
      <c r="L14" s="3"/>
      <c r="M14" s="3"/>
      <c r="N14" s="3"/>
      <c r="O14" s="3"/>
      <c r="P14" s="4"/>
    </row>
    <row r="15" spans="1:16" ht="23.1" customHeight="1">
      <c r="A15" s="3">
        <v>14</v>
      </c>
      <c r="B15" s="5">
        <v>130</v>
      </c>
      <c r="C15" s="4" t="s">
        <v>82</v>
      </c>
      <c r="D15" s="6">
        <v>0.995</v>
      </c>
      <c r="E15" s="8">
        <f>IF(OR($I15="",$D15=""),"",IFERROR(IF(VLOOKUP($I15,Sessions!$A$2:$W$21,2,FALSE)="","",VLOOKUP($I15,Sessions!$A$2:$W$21,2,FALSE)),""))</f>
        <v>46268</v>
      </c>
      <c r="F15" s="9">
        <v>0.73750000000000004</v>
      </c>
      <c r="G15" s="3" t="str">
        <f>IF(OR($I15="",$D15=""),"",IFERROR(IF(VLOOKUP($I15,Sessions!$A$2:$W$21,5,FALSE)="","",VLOOKUP($I15,Sessions!$A$2:$W$21,5,FALSE)),""))</f>
        <v>Timmy D. Bell</v>
      </c>
      <c r="H15" s="3" t="s">
        <v>18</v>
      </c>
      <c r="I15" s="4">
        <v>1</v>
      </c>
      <c r="J15" s="7">
        <f>IF(OR($I15="",$D15=""),"",IFERROR(IF(VLOOKUP($I15,Sessions!$A$2:$W$21,13,FALSE)="","",VLOOKUP($I15,Sessions!$A$2:$W$21,13,FALSE)),""))</f>
        <v>1</v>
      </c>
      <c r="K15" s="7">
        <f>IF(OR($I15="",$D15=""),"",IFERROR(IF(VLOOKUP($I15,Sessions!$A$2:$W$21,20,FALSE)="","",VLOOKUP($I15,Sessions!$A$2:$W$21,20,FALSE)),""))</f>
        <v>1</v>
      </c>
      <c r="L15" s="3"/>
      <c r="M15" s="3"/>
      <c r="N15" s="3"/>
      <c r="O15" s="3"/>
      <c r="P15" s="4"/>
    </row>
    <row r="16" spans="1:16" ht="23.1" customHeight="1">
      <c r="A16" s="3">
        <v>15</v>
      </c>
      <c r="B16" s="5">
        <v>108</v>
      </c>
      <c r="C16" s="4" t="s">
        <v>82</v>
      </c>
      <c r="D16" s="6">
        <v>1</v>
      </c>
      <c r="E16" s="8">
        <f>IF(OR($I16="",$D16=""),"",IFERROR(IF(VLOOKUP($I16,Sessions!$A$2:$W$21,2,FALSE)="","",VLOOKUP($I16,Sessions!$A$2:$W$21,2,FALSE)),""))</f>
        <v>46268</v>
      </c>
      <c r="F16" s="9">
        <v>0.73750000000000004</v>
      </c>
      <c r="G16" s="3" t="str">
        <f>IF(OR($I16="",$D16=""),"",IFERROR(IF(VLOOKUP($I16,Sessions!$A$2:$W$21,5,FALSE)="","",VLOOKUP($I16,Sessions!$A$2:$W$21,5,FALSE)),""))</f>
        <v>Timmy D. Bell</v>
      </c>
      <c r="H16" s="3" t="s">
        <v>18</v>
      </c>
      <c r="I16" s="4">
        <v>1</v>
      </c>
      <c r="J16" s="7">
        <f>IF(OR($I16="",$D16=""),"",IFERROR(IF(VLOOKUP($I16,Sessions!$A$2:$W$21,13,FALSE)="","",VLOOKUP($I16,Sessions!$A$2:$W$21,13,FALSE)),""))</f>
        <v>1</v>
      </c>
      <c r="K16" s="7">
        <f>IF(OR($I16="",$D16=""),"",IFERROR(IF(VLOOKUP($I16,Sessions!$A$2:$W$21,20,FALSE)="","",VLOOKUP($I16,Sessions!$A$2:$W$21,20,FALSE)),""))</f>
        <v>1</v>
      </c>
      <c r="L16" s="3"/>
      <c r="M16" s="3"/>
      <c r="N16" s="3"/>
      <c r="O16" s="3"/>
      <c r="P16" s="4"/>
    </row>
    <row r="17" spans="1:16" ht="23.1" customHeight="1">
      <c r="A17" s="3">
        <v>16</v>
      </c>
      <c r="B17" s="5">
        <v>165</v>
      </c>
      <c r="C17" s="4" t="s">
        <v>82</v>
      </c>
      <c r="D17" s="6">
        <v>0.999</v>
      </c>
      <c r="E17" s="8">
        <f>IF(OR($I17="",$D17=""),"",IFERROR(IF(VLOOKUP($I17,Sessions!$A$2:$W$21,2,FALSE)="","",VLOOKUP($I17,Sessions!$A$2:$W$21,2,FALSE)),""))</f>
        <v>46268</v>
      </c>
      <c r="F17" s="9">
        <v>0.73819444444444449</v>
      </c>
      <c r="G17" s="3" t="str">
        <f>IF(OR($I17="",$D17=""),"",IFERROR(IF(VLOOKUP($I17,Sessions!$A$2:$W$21,5,FALSE)="","",VLOOKUP($I17,Sessions!$A$2:$W$21,5,FALSE)),""))</f>
        <v>Timmy D. Bell</v>
      </c>
      <c r="H17" s="3" t="s">
        <v>18</v>
      </c>
      <c r="I17" s="4">
        <v>1</v>
      </c>
      <c r="J17" s="7">
        <f>IF(OR($I17="",$D17=""),"",IFERROR(IF(VLOOKUP($I17,Sessions!$A$2:$W$21,13,FALSE)="","",VLOOKUP($I17,Sessions!$A$2:$W$21,13,FALSE)),""))</f>
        <v>1</v>
      </c>
      <c r="K17" s="7">
        <f>IF(OR($I17="",$D17=""),"",IFERROR(IF(VLOOKUP($I17,Sessions!$A$2:$W$21,20,FALSE)="","",VLOOKUP($I17,Sessions!$A$2:$W$21,20,FALSE)),""))</f>
        <v>1</v>
      </c>
      <c r="L17" s="3"/>
      <c r="M17" s="3"/>
      <c r="N17" s="3"/>
      <c r="O17" s="3"/>
      <c r="P17" s="4"/>
    </row>
    <row r="18" spans="1:16" ht="23.1" customHeight="1">
      <c r="A18" s="3">
        <v>17</v>
      </c>
      <c r="B18" s="5">
        <v>154</v>
      </c>
      <c r="C18" s="4" t="s">
        <v>82</v>
      </c>
      <c r="D18" s="6">
        <v>0.99950000000000006</v>
      </c>
      <c r="E18" s="8">
        <f>IF(OR($I18="",$D18=""),"",IFERROR(IF(VLOOKUP($I18,Sessions!$A$2:$W$21,2,FALSE)="","",VLOOKUP($I18,Sessions!$A$2:$W$21,2,FALSE)),""))</f>
        <v>46268</v>
      </c>
      <c r="F18" s="9">
        <v>0.73819444444444449</v>
      </c>
      <c r="G18" s="3" t="str">
        <f>IF(OR($I18="",$D18=""),"",IFERROR(IF(VLOOKUP($I18,Sessions!$A$2:$W$21,5,FALSE)="","",VLOOKUP($I18,Sessions!$A$2:$W$21,5,FALSE)),""))</f>
        <v>Timmy D. Bell</v>
      </c>
      <c r="H18" s="3" t="s">
        <v>18</v>
      </c>
      <c r="I18" s="4">
        <v>1</v>
      </c>
      <c r="J18" s="7">
        <f>IF(OR($I18="",$D18=""),"",IFERROR(IF(VLOOKUP($I18,Sessions!$A$2:$W$21,13,FALSE)="","",VLOOKUP($I18,Sessions!$A$2:$W$21,13,FALSE)),""))</f>
        <v>1</v>
      </c>
      <c r="K18" s="7">
        <f>IF(OR($I18="",$D18=""),"",IFERROR(IF(VLOOKUP($I18,Sessions!$A$2:$W$21,20,FALSE)="","",VLOOKUP($I18,Sessions!$A$2:$W$21,20,FALSE)),""))</f>
        <v>1</v>
      </c>
      <c r="L18" s="3"/>
      <c r="M18" s="3"/>
      <c r="N18" s="3"/>
      <c r="O18" s="3"/>
      <c r="P18" s="4"/>
    </row>
    <row r="19" spans="1:16" ht="23.1" customHeight="1">
      <c r="A19" s="3">
        <v>18</v>
      </c>
      <c r="B19" s="5">
        <v>116</v>
      </c>
      <c r="C19" s="4" t="s">
        <v>82</v>
      </c>
      <c r="D19" s="6">
        <v>1.0015000000000001</v>
      </c>
      <c r="E19" s="8">
        <f>IF(OR($I19="",$D19=""),"",IFERROR(IF(VLOOKUP($I19,Sessions!$A$2:$W$21,2,FALSE)="","",VLOOKUP($I19,Sessions!$A$2:$W$21,2,FALSE)),""))</f>
        <v>46268</v>
      </c>
      <c r="F19" s="9">
        <v>0.73888888888888893</v>
      </c>
      <c r="G19" s="3" t="str">
        <f>IF(OR($I19="",$D19=""),"",IFERROR(IF(VLOOKUP($I19,Sessions!$A$2:$W$21,5,FALSE)="","",VLOOKUP($I19,Sessions!$A$2:$W$21,5,FALSE)),""))</f>
        <v>Timmy D. Bell</v>
      </c>
      <c r="H19" s="3" t="s">
        <v>18</v>
      </c>
      <c r="I19" s="4">
        <v>1</v>
      </c>
      <c r="J19" s="7">
        <f>IF(OR($I19="",$D19=""),"",IFERROR(IF(VLOOKUP($I19,Sessions!$A$2:$W$21,13,FALSE)="","",VLOOKUP($I19,Sessions!$A$2:$W$21,13,FALSE)),""))</f>
        <v>1</v>
      </c>
      <c r="K19" s="7">
        <f>IF(OR($I19="",$D19=""),"",IFERROR(IF(VLOOKUP($I19,Sessions!$A$2:$W$21,20,FALSE)="","",VLOOKUP($I19,Sessions!$A$2:$W$21,20,FALSE)),""))</f>
        <v>1</v>
      </c>
      <c r="L19" s="3"/>
      <c r="M19" s="3"/>
      <c r="N19" s="3"/>
      <c r="O19" s="3"/>
      <c r="P19" s="4"/>
    </row>
    <row r="20" spans="1:16" ht="23.1" customHeight="1">
      <c r="A20" s="3">
        <v>19</v>
      </c>
      <c r="B20" s="5">
        <v>79</v>
      </c>
      <c r="C20" s="4" t="s">
        <v>82</v>
      </c>
      <c r="D20" s="6">
        <v>0.999</v>
      </c>
      <c r="E20" s="8">
        <f>IF(OR($I20="",$D20=""),"",IFERROR(IF(VLOOKUP($I20,Sessions!$A$2:$W$21,2,FALSE)="","",VLOOKUP($I20,Sessions!$A$2:$W$21,2,FALSE)),""))</f>
        <v>46268</v>
      </c>
      <c r="F20" s="9">
        <v>0.73888888888888893</v>
      </c>
      <c r="G20" s="3" t="str">
        <f>IF(OR($I20="",$D20=""),"",IFERROR(IF(VLOOKUP($I20,Sessions!$A$2:$W$21,5,FALSE)="","",VLOOKUP($I20,Sessions!$A$2:$W$21,5,FALSE)),""))</f>
        <v>Timmy D. Bell</v>
      </c>
      <c r="H20" s="3" t="s">
        <v>18</v>
      </c>
      <c r="I20" s="4">
        <v>1</v>
      </c>
      <c r="J20" s="7">
        <f>IF(OR($I20="",$D20=""),"",IFERROR(IF(VLOOKUP($I20,Sessions!$A$2:$W$21,13,FALSE)="","",VLOOKUP($I20,Sessions!$A$2:$W$21,13,FALSE)),""))</f>
        <v>1</v>
      </c>
      <c r="K20" s="7">
        <f>IF(OR($I20="",$D20=""),"",IFERROR(IF(VLOOKUP($I20,Sessions!$A$2:$W$21,20,FALSE)="","",VLOOKUP($I20,Sessions!$A$2:$W$21,20,FALSE)),""))</f>
        <v>1</v>
      </c>
      <c r="L20" s="3"/>
      <c r="M20" s="3"/>
      <c r="N20" s="3"/>
      <c r="O20" s="3"/>
      <c r="P20" s="4"/>
    </row>
    <row r="21" spans="1:16" ht="23.1" customHeight="1">
      <c r="A21" s="3">
        <v>20</v>
      </c>
      <c r="B21" s="5">
        <v>229</v>
      </c>
      <c r="C21" s="4" t="s">
        <v>82</v>
      </c>
      <c r="D21" s="6">
        <v>1.002</v>
      </c>
      <c r="E21" s="8">
        <f>IF(OR($I21="",$D21=""),"",IFERROR(IF(VLOOKUP($I21,Sessions!$A$2:$W$21,2,FALSE)="","",VLOOKUP($I21,Sessions!$A$2:$W$21,2,FALSE)),""))</f>
        <v>46268</v>
      </c>
      <c r="F21" s="9">
        <v>0.73888888888888893</v>
      </c>
      <c r="G21" s="3" t="str">
        <f>IF(OR($I21="",$D21=""),"",IFERROR(IF(VLOOKUP($I21,Sessions!$A$2:$W$21,5,FALSE)="","",VLOOKUP($I21,Sessions!$A$2:$W$21,5,FALSE)),""))</f>
        <v>Timmy D. Bell</v>
      </c>
      <c r="H21" s="3" t="s">
        <v>18</v>
      </c>
      <c r="I21" s="4">
        <v>1</v>
      </c>
      <c r="J21" s="7">
        <f>IF(OR($I21="",$D21=""),"",IFERROR(IF(VLOOKUP($I21,Sessions!$A$2:$W$21,13,FALSE)="","",VLOOKUP($I21,Sessions!$A$2:$W$21,13,FALSE)),""))</f>
        <v>1</v>
      </c>
      <c r="K21" s="7">
        <f>IF(OR($I21="",$D21=""),"",IFERROR(IF(VLOOKUP($I21,Sessions!$A$2:$W$21,20,FALSE)="","",VLOOKUP($I21,Sessions!$A$2:$W$21,20,FALSE)),""))</f>
        <v>1</v>
      </c>
      <c r="L21" s="3"/>
      <c r="M21" s="3"/>
      <c r="N21" s="3"/>
      <c r="O21" s="3"/>
      <c r="P21" s="4"/>
    </row>
    <row r="22" spans="1:16" ht="23.1" customHeight="1">
      <c r="A22" s="3">
        <v>21</v>
      </c>
      <c r="B22" s="5">
        <v>185</v>
      </c>
      <c r="C22" s="4" t="s">
        <v>82</v>
      </c>
      <c r="D22" s="6">
        <v>1</v>
      </c>
      <c r="E22" s="8">
        <f>IF(OR($I22="",$D22=""),"",IFERROR(IF(VLOOKUP($I22,Sessions!$A$2:$W$21,2,FALSE)="","",VLOOKUP($I22,Sessions!$A$2:$W$21,2,FALSE)),""))</f>
        <v>46268</v>
      </c>
      <c r="F22" s="9">
        <v>0.73888888888888893</v>
      </c>
      <c r="G22" s="3" t="str">
        <f>IF(OR($I22="",$D22=""),"",IFERROR(IF(VLOOKUP($I22,Sessions!$A$2:$W$21,5,FALSE)="","",VLOOKUP($I22,Sessions!$A$2:$W$21,5,FALSE)),""))</f>
        <v>Timmy D. Bell</v>
      </c>
      <c r="H22" s="3" t="s">
        <v>18</v>
      </c>
      <c r="I22" s="4">
        <v>1</v>
      </c>
      <c r="J22" s="7">
        <f>IF(OR($I22="",$D22=""),"",IFERROR(IF(VLOOKUP($I22,Sessions!$A$2:$W$21,13,FALSE)="","",VLOOKUP($I22,Sessions!$A$2:$W$21,13,FALSE)),""))</f>
        <v>1</v>
      </c>
      <c r="K22" s="7">
        <f>IF(OR($I22="",$D22=""),"",IFERROR(IF(VLOOKUP($I22,Sessions!$A$2:$W$21,20,FALSE)="","",VLOOKUP($I22,Sessions!$A$2:$W$21,20,FALSE)),""))</f>
        <v>1</v>
      </c>
      <c r="L22" s="3"/>
      <c r="M22" s="3"/>
      <c r="N22" s="3"/>
      <c r="O22" s="3"/>
      <c r="P22" s="4"/>
    </row>
    <row r="23" spans="1:16" ht="23.1" customHeight="1">
      <c r="A23" s="3">
        <v>22</v>
      </c>
      <c r="B23" s="5">
        <v>166</v>
      </c>
      <c r="C23" s="4" t="s">
        <v>82</v>
      </c>
      <c r="D23" s="6">
        <v>0.99950000000000006</v>
      </c>
      <c r="E23" s="8">
        <f>IF(OR($I23="",$D23=""),"",IFERROR(IF(VLOOKUP($I23,Sessions!$A$2:$W$21,2,FALSE)="","",VLOOKUP($I23,Sessions!$A$2:$W$21,2,FALSE)),""))</f>
        <v>46268</v>
      </c>
      <c r="F23" s="9">
        <v>0.73958333333333337</v>
      </c>
      <c r="G23" s="3" t="str">
        <f>IF(OR($I23="",$D23=""),"",IFERROR(IF(VLOOKUP($I23,Sessions!$A$2:$W$21,5,FALSE)="","",VLOOKUP($I23,Sessions!$A$2:$W$21,5,FALSE)),""))</f>
        <v>Timmy D. Bell</v>
      </c>
      <c r="H23" s="3" t="s">
        <v>18</v>
      </c>
      <c r="I23" s="4">
        <v>1</v>
      </c>
      <c r="J23" s="7">
        <f>IF(OR($I23="",$D23=""),"",IFERROR(IF(VLOOKUP($I23,Sessions!$A$2:$W$21,13,FALSE)="","",VLOOKUP($I23,Sessions!$A$2:$W$21,13,FALSE)),""))</f>
        <v>1</v>
      </c>
      <c r="K23" s="7">
        <f>IF(OR($I23="",$D23=""),"",IFERROR(IF(VLOOKUP($I23,Sessions!$A$2:$W$21,20,FALSE)="","",VLOOKUP($I23,Sessions!$A$2:$W$21,20,FALSE)),""))</f>
        <v>1</v>
      </c>
      <c r="L23" s="3"/>
      <c r="M23" s="3"/>
      <c r="N23" s="3"/>
      <c r="O23" s="3"/>
      <c r="P23" s="4"/>
    </row>
    <row r="24" spans="1:16" ht="23.1" customHeight="1">
      <c r="A24" s="3">
        <v>23</v>
      </c>
      <c r="B24" s="5">
        <v>199</v>
      </c>
      <c r="C24" s="4" t="s">
        <v>82</v>
      </c>
      <c r="D24" s="6">
        <v>1.0009999999999999</v>
      </c>
      <c r="E24" s="8">
        <f>IF(OR($I24="",$D24=""),"",IFERROR(IF(VLOOKUP($I24,Sessions!$A$2:$W$21,2,FALSE)="","",VLOOKUP($I24,Sessions!$A$2:$W$21,2,FALSE)),""))</f>
        <v>46268</v>
      </c>
      <c r="F24" s="9">
        <v>0.73958333333333337</v>
      </c>
      <c r="G24" s="3" t="str">
        <f>IF(OR($I24="",$D24=""),"",IFERROR(IF(VLOOKUP($I24,Sessions!$A$2:$W$21,5,FALSE)="","",VLOOKUP($I24,Sessions!$A$2:$W$21,5,FALSE)),""))</f>
        <v>Timmy D. Bell</v>
      </c>
      <c r="H24" s="3" t="s">
        <v>18</v>
      </c>
      <c r="I24" s="4">
        <v>1</v>
      </c>
      <c r="J24" s="7">
        <f>IF(OR($I24="",$D24=""),"",IFERROR(IF(VLOOKUP($I24,Sessions!$A$2:$W$21,13,FALSE)="","",VLOOKUP($I24,Sessions!$A$2:$W$21,13,FALSE)),""))</f>
        <v>1</v>
      </c>
      <c r="K24" s="7">
        <f>IF(OR($I24="",$D24=""),"",IFERROR(IF(VLOOKUP($I24,Sessions!$A$2:$W$21,20,FALSE)="","",VLOOKUP($I24,Sessions!$A$2:$W$21,20,FALSE)),""))</f>
        <v>1</v>
      </c>
      <c r="L24" s="3"/>
      <c r="M24" s="3"/>
      <c r="N24" s="3"/>
      <c r="O24" s="3"/>
      <c r="P24" s="4"/>
    </row>
    <row r="25" spans="1:16" ht="23.1" customHeight="1">
      <c r="A25" s="3">
        <v>24</v>
      </c>
      <c r="B25" s="5">
        <v>97</v>
      </c>
      <c r="C25" s="4" t="s">
        <v>82</v>
      </c>
      <c r="D25" s="6">
        <v>0.99750000000000005</v>
      </c>
      <c r="E25" s="8">
        <f>IF(OR($I25="",$D25=""),"",IFERROR(IF(VLOOKUP($I25,Sessions!$A$2:$W$21,2,FALSE)="","",VLOOKUP($I25,Sessions!$A$2:$W$21,2,FALSE)),""))</f>
        <v>46268</v>
      </c>
      <c r="F25" s="9">
        <v>0.74097222222222225</v>
      </c>
      <c r="G25" s="3" t="str">
        <f>IF(OR($I25="",$D25=""),"",IFERROR(IF(VLOOKUP($I25,Sessions!$A$2:$W$21,5,FALSE)="","",VLOOKUP($I25,Sessions!$A$2:$W$21,5,FALSE)),""))</f>
        <v>Timmy D. Bell</v>
      </c>
      <c r="H25" s="3" t="s">
        <v>18</v>
      </c>
      <c r="I25" s="4">
        <v>1</v>
      </c>
      <c r="J25" s="7">
        <f>IF(OR($I25="",$D25=""),"",IFERROR(IF(VLOOKUP($I25,Sessions!$A$2:$W$21,13,FALSE)="","",VLOOKUP($I25,Sessions!$A$2:$W$21,13,FALSE)),""))</f>
        <v>1</v>
      </c>
      <c r="K25" s="7">
        <f>IF(OR($I25="",$D25=""),"",IFERROR(IF(VLOOKUP($I25,Sessions!$A$2:$W$21,20,FALSE)="","",VLOOKUP($I25,Sessions!$A$2:$W$21,20,FALSE)),""))</f>
        <v>1</v>
      </c>
      <c r="L25" s="3"/>
      <c r="M25" s="3"/>
      <c r="N25" s="3"/>
      <c r="O25" s="3"/>
      <c r="P25" s="4"/>
    </row>
    <row r="26" spans="1:16" ht="23.1" customHeight="1">
      <c r="A26" s="3">
        <v>25</v>
      </c>
      <c r="B26" s="5">
        <v>70</v>
      </c>
      <c r="C26" s="4" t="s">
        <v>82</v>
      </c>
      <c r="D26" s="6">
        <v>1.0049999999999999</v>
      </c>
      <c r="E26" s="8">
        <f>IF(OR($I26="",$D26=""),"",IFERROR(IF(VLOOKUP($I26,Sessions!$A$2:$W$21,2,FALSE)="","",VLOOKUP($I26,Sessions!$A$2:$W$21,2,FALSE)),""))</f>
        <v>46268</v>
      </c>
      <c r="F26" s="9">
        <v>0.7416666666666667</v>
      </c>
      <c r="G26" s="3" t="str">
        <f>IF(OR($I26="",$D26=""),"",IFERROR(IF(VLOOKUP($I26,Sessions!$A$2:$W$21,5,FALSE)="","",VLOOKUP($I26,Sessions!$A$2:$W$21,5,FALSE)),""))</f>
        <v>Timmy D. Bell</v>
      </c>
      <c r="H26" s="3" t="s">
        <v>18</v>
      </c>
      <c r="I26" s="4">
        <v>1</v>
      </c>
      <c r="J26" s="7">
        <f>IF(OR($I26="",$D26=""),"",IFERROR(IF(VLOOKUP($I26,Sessions!$A$2:$W$21,13,FALSE)="","",VLOOKUP($I26,Sessions!$A$2:$W$21,13,FALSE)),""))</f>
        <v>1</v>
      </c>
      <c r="K26" s="7">
        <f>IF(OR($I26="",$D26=""),"",IFERROR(IF(VLOOKUP($I26,Sessions!$A$2:$W$21,20,FALSE)="","",VLOOKUP($I26,Sessions!$A$2:$W$21,20,FALSE)),""))</f>
        <v>1</v>
      </c>
      <c r="L26" s="3"/>
      <c r="M26" s="3"/>
      <c r="N26" s="3"/>
      <c r="O26" s="3"/>
      <c r="P26" s="4"/>
    </row>
    <row r="27" spans="1:16" ht="23.1" customHeight="1">
      <c r="A27" s="3">
        <v>26</v>
      </c>
      <c r="B27" s="5">
        <v>93</v>
      </c>
      <c r="C27" s="4" t="s">
        <v>82</v>
      </c>
      <c r="D27" s="6">
        <v>0.99950000000000006</v>
      </c>
      <c r="E27" s="8">
        <f>IF(OR($I27="",$D27=""),"",IFERROR(IF(VLOOKUP($I27,Sessions!$A$2:$W$21,2,FALSE)="","",VLOOKUP($I27,Sessions!$A$2:$W$21,2,FALSE)),""))</f>
        <v>46268</v>
      </c>
      <c r="F27" s="9">
        <v>0.7416666666666667</v>
      </c>
      <c r="G27" s="3" t="str">
        <f>IF(OR($I27="",$D27=""),"",IFERROR(IF(VLOOKUP($I27,Sessions!$A$2:$W$21,5,FALSE)="","",VLOOKUP($I27,Sessions!$A$2:$W$21,5,FALSE)),""))</f>
        <v>Timmy D. Bell</v>
      </c>
      <c r="H27" s="3" t="s">
        <v>18</v>
      </c>
      <c r="I27" s="4">
        <v>1</v>
      </c>
      <c r="J27" s="7">
        <f>IF(OR($I27="",$D27=""),"",IFERROR(IF(VLOOKUP($I27,Sessions!$A$2:$W$21,13,FALSE)="","",VLOOKUP($I27,Sessions!$A$2:$W$21,13,FALSE)),""))</f>
        <v>1</v>
      </c>
      <c r="K27" s="7">
        <f>IF(OR($I27="",$D27=""),"",IFERROR(IF(VLOOKUP($I27,Sessions!$A$2:$W$21,20,FALSE)="","",VLOOKUP($I27,Sessions!$A$2:$W$21,20,FALSE)),""))</f>
        <v>1</v>
      </c>
      <c r="L27" s="3"/>
      <c r="M27" s="3"/>
      <c r="N27" s="3"/>
      <c r="O27" s="3"/>
      <c r="P27" s="4"/>
    </row>
    <row r="28" spans="1:16" ht="23.1" customHeight="1">
      <c r="A28" s="3">
        <v>27</v>
      </c>
      <c r="B28" s="5">
        <v>1</v>
      </c>
      <c r="C28" s="4" t="s">
        <v>82</v>
      </c>
      <c r="D28" s="6">
        <v>0.99850000000000005</v>
      </c>
      <c r="E28" s="8">
        <f>IF(OR($I28="",$D28=""),"",IFERROR(IF(VLOOKUP($I28,Sessions!$A$2:$W$21,2,FALSE)="","",VLOOKUP($I28,Sessions!$A$2:$W$21,2,FALSE)),""))</f>
        <v>46268</v>
      </c>
      <c r="F28" s="9">
        <v>0.7416666666666667</v>
      </c>
      <c r="G28" s="3" t="str">
        <f>IF(OR($I28="",$D28=""),"",IFERROR(IF(VLOOKUP($I28,Sessions!$A$2:$W$21,5,FALSE)="","",VLOOKUP($I28,Sessions!$A$2:$W$21,5,FALSE)),""))</f>
        <v>Timmy D. Bell</v>
      </c>
      <c r="H28" s="3" t="s">
        <v>18</v>
      </c>
      <c r="I28" s="4">
        <v>1</v>
      </c>
      <c r="J28" s="7">
        <f>IF(OR($I28="",$D28=""),"",IFERROR(IF(VLOOKUP($I28,Sessions!$A$2:$W$21,13,FALSE)="","",VLOOKUP($I28,Sessions!$A$2:$W$21,13,FALSE)),""))</f>
        <v>1</v>
      </c>
      <c r="K28" s="7">
        <f>IF(OR($I28="",$D28=""),"",IFERROR(IF(VLOOKUP($I28,Sessions!$A$2:$W$21,20,FALSE)="","",VLOOKUP($I28,Sessions!$A$2:$W$21,20,FALSE)),""))</f>
        <v>1</v>
      </c>
      <c r="L28" s="3"/>
      <c r="M28" s="3"/>
      <c r="N28" s="3"/>
      <c r="O28" s="3"/>
      <c r="P28" s="4"/>
    </row>
    <row r="29" spans="1:16" ht="23.1" customHeight="1">
      <c r="A29" s="3">
        <v>28</v>
      </c>
      <c r="B29" s="5">
        <v>208</v>
      </c>
      <c r="C29" s="4" t="s">
        <v>82</v>
      </c>
      <c r="D29" s="6">
        <v>0.99099999999999999</v>
      </c>
      <c r="E29" s="8">
        <f>IF(OR($I29="",$D29=""),"",IFERROR(IF(VLOOKUP($I29,Sessions!$A$2:$W$21,2,FALSE)="","",VLOOKUP($I29,Sessions!$A$2:$W$21,2,FALSE)),""))</f>
        <v>46268</v>
      </c>
      <c r="F29" s="9">
        <v>0.74236111111111114</v>
      </c>
      <c r="G29" s="3" t="str">
        <f>IF(OR($I29="",$D29=""),"",IFERROR(IF(VLOOKUP($I29,Sessions!$A$2:$W$21,5,FALSE)="","",VLOOKUP($I29,Sessions!$A$2:$W$21,5,FALSE)),""))</f>
        <v>Timmy D. Bell</v>
      </c>
      <c r="H29" s="3" t="s">
        <v>18</v>
      </c>
      <c r="I29" s="4">
        <v>1</v>
      </c>
      <c r="J29" s="7">
        <f>IF(OR($I29="",$D29=""),"",IFERROR(IF(VLOOKUP($I29,Sessions!$A$2:$W$21,13,FALSE)="","",VLOOKUP($I29,Sessions!$A$2:$W$21,13,FALSE)),""))</f>
        <v>1</v>
      </c>
      <c r="K29" s="7">
        <f>IF(OR($I29="",$D29=""),"",IFERROR(IF(VLOOKUP($I29,Sessions!$A$2:$W$21,20,FALSE)="","",VLOOKUP($I29,Sessions!$A$2:$W$21,20,FALSE)),""))</f>
        <v>1</v>
      </c>
      <c r="L29" s="3"/>
      <c r="M29" s="3"/>
      <c r="N29" s="3"/>
      <c r="O29" s="3"/>
      <c r="P29" s="4"/>
    </row>
    <row r="30" spans="1:16" ht="23.1" customHeight="1">
      <c r="A30" s="3">
        <v>29</v>
      </c>
      <c r="B30" s="5">
        <v>158</v>
      </c>
      <c r="C30" s="4" t="s">
        <v>82</v>
      </c>
      <c r="D30" s="6">
        <v>1.0029999999999999</v>
      </c>
      <c r="E30" s="8">
        <f>IF(OR($I30="",$D30=""),"",IFERROR(IF(VLOOKUP($I30,Sessions!$A$2:$W$21,2,FALSE)="","",VLOOKUP($I30,Sessions!$A$2:$W$21,2,FALSE)),""))</f>
        <v>46268</v>
      </c>
      <c r="F30" s="9">
        <v>0.74236111111111114</v>
      </c>
      <c r="G30" s="3" t="str">
        <f>IF(OR($I30="",$D30=""),"",IFERROR(IF(VLOOKUP($I30,Sessions!$A$2:$W$21,5,FALSE)="","",VLOOKUP($I30,Sessions!$A$2:$W$21,5,FALSE)),""))</f>
        <v>Timmy D. Bell</v>
      </c>
      <c r="H30" s="3" t="s">
        <v>18</v>
      </c>
      <c r="I30" s="4">
        <v>1</v>
      </c>
      <c r="J30" s="7">
        <f>IF(OR($I30="",$D30=""),"",IFERROR(IF(VLOOKUP($I30,Sessions!$A$2:$W$21,13,FALSE)="","",VLOOKUP($I30,Sessions!$A$2:$W$21,13,FALSE)),""))</f>
        <v>1</v>
      </c>
      <c r="K30" s="7">
        <f>IF(OR($I30="",$D30=""),"",IFERROR(IF(VLOOKUP($I30,Sessions!$A$2:$W$21,20,FALSE)="","",VLOOKUP($I30,Sessions!$A$2:$W$21,20,FALSE)),""))</f>
        <v>1</v>
      </c>
      <c r="L30" s="3"/>
      <c r="M30" s="3"/>
      <c r="N30" s="3"/>
      <c r="O30" s="3"/>
      <c r="P30" s="4"/>
    </row>
    <row r="31" spans="1:16" ht="23.1" customHeight="1">
      <c r="A31" s="3">
        <v>30</v>
      </c>
      <c r="B31" s="5">
        <v>211</v>
      </c>
      <c r="C31" s="4" t="s">
        <v>82</v>
      </c>
      <c r="D31" s="6">
        <v>1</v>
      </c>
      <c r="E31" s="8">
        <f>IF(OR($I31="",$D31=""),"",IFERROR(IF(VLOOKUP($I31,Sessions!$A$2:$W$21,2,FALSE)="","",VLOOKUP($I31,Sessions!$A$2:$W$21,2,FALSE)),""))</f>
        <v>46268</v>
      </c>
      <c r="F31" s="9">
        <v>0.74305555555555558</v>
      </c>
      <c r="G31" s="3" t="str">
        <f>IF(OR($I31="",$D31=""),"",IFERROR(IF(VLOOKUP($I31,Sessions!$A$2:$W$21,5,FALSE)="","",VLOOKUP($I31,Sessions!$A$2:$W$21,5,FALSE)),""))</f>
        <v>Timmy D. Bell</v>
      </c>
      <c r="H31" s="3" t="s">
        <v>18</v>
      </c>
      <c r="I31" s="4">
        <v>1</v>
      </c>
      <c r="J31" s="7">
        <f>IF(OR($I31="",$D31=""),"",IFERROR(IF(VLOOKUP($I31,Sessions!$A$2:$W$21,13,FALSE)="","",VLOOKUP($I31,Sessions!$A$2:$W$21,13,FALSE)),""))</f>
        <v>1</v>
      </c>
      <c r="K31" s="7">
        <f>IF(OR($I31="",$D31=""),"",IFERROR(IF(VLOOKUP($I31,Sessions!$A$2:$W$21,20,FALSE)="","",VLOOKUP($I31,Sessions!$A$2:$W$21,20,FALSE)),""))</f>
        <v>1</v>
      </c>
      <c r="L31" s="3"/>
      <c r="M31" s="3"/>
      <c r="N31" s="3"/>
      <c r="O31" s="3"/>
      <c r="P31" s="4"/>
    </row>
    <row r="32" spans="1:16" ht="23.1" customHeight="1">
      <c r="A32" s="3">
        <v>31</v>
      </c>
      <c r="B32" s="5">
        <v>21</v>
      </c>
      <c r="C32" s="4" t="s">
        <v>82</v>
      </c>
      <c r="D32" s="6">
        <v>1.0009999999999999</v>
      </c>
      <c r="E32" s="8">
        <f>IF(OR($I32="",$D32=""),"",IFERROR(IF(VLOOKUP($I32,Sessions!$A$2:$W$21,2,FALSE)="","",VLOOKUP($I32,Sessions!$A$2:$W$21,2,FALSE)),""))</f>
        <v>46268</v>
      </c>
      <c r="F32" s="9">
        <v>0.74305555555555558</v>
      </c>
      <c r="G32" s="3" t="str">
        <f>IF(OR($I32="",$D32=""),"",IFERROR(IF(VLOOKUP($I32,Sessions!$A$2:$W$21,5,FALSE)="","",VLOOKUP($I32,Sessions!$A$2:$W$21,5,FALSE)),""))</f>
        <v>Timmy D. Bell</v>
      </c>
      <c r="H32" s="3" t="s">
        <v>18</v>
      </c>
      <c r="I32" s="4">
        <v>1</v>
      </c>
      <c r="J32" s="7">
        <f>IF(OR($I32="",$D32=""),"",IFERROR(IF(VLOOKUP($I32,Sessions!$A$2:$W$21,13,FALSE)="","",VLOOKUP($I32,Sessions!$A$2:$W$21,13,FALSE)),""))</f>
        <v>1</v>
      </c>
      <c r="K32" s="7">
        <f>IF(OR($I32="",$D32=""),"",IFERROR(IF(VLOOKUP($I32,Sessions!$A$2:$W$21,20,FALSE)="","",VLOOKUP($I32,Sessions!$A$2:$W$21,20,FALSE)),""))</f>
        <v>1</v>
      </c>
      <c r="L32" s="3"/>
      <c r="M32" s="3"/>
      <c r="N32" s="3"/>
      <c r="O32" s="3"/>
      <c r="P32" s="4"/>
    </row>
    <row r="33" spans="1:16" ht="23.1" customHeight="1">
      <c r="A33" s="3">
        <v>32</v>
      </c>
      <c r="B33" s="5">
        <v>72</v>
      </c>
      <c r="C33" s="4" t="s">
        <v>82</v>
      </c>
      <c r="D33" s="6">
        <v>1.0004999999999999</v>
      </c>
      <c r="E33" s="8">
        <f>IF(OR($I33="",$D33=""),"",IFERROR(IF(VLOOKUP($I33,Sessions!$A$2:$W$21,2,FALSE)="","",VLOOKUP($I33,Sessions!$A$2:$W$21,2,FALSE)),""))</f>
        <v>46268</v>
      </c>
      <c r="F33" s="9">
        <v>0.74305555555555558</v>
      </c>
      <c r="G33" s="3" t="str">
        <f>IF(OR($I33="",$D33=""),"",IFERROR(IF(VLOOKUP($I33,Sessions!$A$2:$W$21,5,FALSE)="","",VLOOKUP($I33,Sessions!$A$2:$W$21,5,FALSE)),""))</f>
        <v>Timmy D. Bell</v>
      </c>
      <c r="H33" s="3" t="s">
        <v>18</v>
      </c>
      <c r="I33" s="4">
        <v>1</v>
      </c>
      <c r="J33" s="7">
        <f>IF(OR($I33="",$D33=""),"",IFERROR(IF(VLOOKUP($I33,Sessions!$A$2:$W$21,13,FALSE)="","",VLOOKUP($I33,Sessions!$A$2:$W$21,13,FALSE)),""))</f>
        <v>1</v>
      </c>
      <c r="K33" s="7">
        <f>IF(OR($I33="",$D33=""),"",IFERROR(IF(VLOOKUP($I33,Sessions!$A$2:$W$21,20,FALSE)="","",VLOOKUP($I33,Sessions!$A$2:$W$21,20,FALSE)),""))</f>
        <v>1</v>
      </c>
      <c r="L33" s="3"/>
      <c r="M33" s="3"/>
      <c r="N33" s="3"/>
      <c r="O33" s="3"/>
      <c r="P33" s="4"/>
    </row>
    <row r="34" spans="1:16" ht="23.1" customHeight="1">
      <c r="A34" s="3">
        <v>33</v>
      </c>
      <c r="B34" s="5">
        <v>174</v>
      </c>
      <c r="C34" s="4" t="s">
        <v>82</v>
      </c>
      <c r="D34" s="6">
        <v>0.999</v>
      </c>
      <c r="E34" s="8">
        <f>IF(OR($I34="",$D34=""),"",IFERROR(IF(VLOOKUP($I34,Sessions!$A$2:$W$21,2,FALSE)="","",VLOOKUP($I34,Sessions!$A$2:$W$21,2,FALSE)),""))</f>
        <v>46268</v>
      </c>
      <c r="F34" s="9">
        <v>0.74375000000000002</v>
      </c>
      <c r="G34" s="3" t="str">
        <f>IF(OR($I34="",$D34=""),"",IFERROR(IF(VLOOKUP($I34,Sessions!$A$2:$W$21,5,FALSE)="","",VLOOKUP($I34,Sessions!$A$2:$W$21,5,FALSE)),""))</f>
        <v>Timmy D. Bell</v>
      </c>
      <c r="H34" s="3" t="s">
        <v>18</v>
      </c>
      <c r="I34" s="4">
        <v>1</v>
      </c>
      <c r="J34" s="7">
        <f>IF(OR($I34="",$D34=""),"",IFERROR(IF(VLOOKUP($I34,Sessions!$A$2:$W$21,13,FALSE)="","",VLOOKUP($I34,Sessions!$A$2:$W$21,13,FALSE)),""))</f>
        <v>1</v>
      </c>
      <c r="K34" s="7">
        <f>IF(OR($I34="",$D34=""),"",IFERROR(IF(VLOOKUP($I34,Sessions!$A$2:$W$21,20,FALSE)="","",VLOOKUP($I34,Sessions!$A$2:$W$21,20,FALSE)),""))</f>
        <v>1</v>
      </c>
      <c r="L34" s="3"/>
      <c r="M34" s="3"/>
      <c r="N34" s="3"/>
      <c r="O34" s="3"/>
      <c r="P34" s="4"/>
    </row>
    <row r="35" spans="1:16" ht="23.1" customHeight="1">
      <c r="A35" s="3">
        <v>34</v>
      </c>
      <c r="B35" s="5">
        <v>80</v>
      </c>
      <c r="C35" s="4" t="s">
        <v>82</v>
      </c>
      <c r="D35" s="6">
        <v>0.999</v>
      </c>
      <c r="E35" s="8">
        <f>IF(OR($I35="",$D35=""),"",IFERROR(IF(VLOOKUP($I35,Sessions!$A$2:$W$21,2,FALSE)="","",VLOOKUP($I35,Sessions!$A$2:$W$21,2,FALSE)),""))</f>
        <v>46268</v>
      </c>
      <c r="F35" s="9">
        <v>0.74375000000000002</v>
      </c>
      <c r="G35" s="3" t="str">
        <f>IF(OR($I35="",$D35=""),"",IFERROR(IF(VLOOKUP($I35,Sessions!$A$2:$W$21,5,FALSE)="","",VLOOKUP($I35,Sessions!$A$2:$W$21,5,FALSE)),""))</f>
        <v>Timmy D. Bell</v>
      </c>
      <c r="H35" s="3" t="s">
        <v>18</v>
      </c>
      <c r="I35" s="4">
        <v>1</v>
      </c>
      <c r="J35" s="7">
        <f>IF(OR($I35="",$D35=""),"",IFERROR(IF(VLOOKUP($I35,Sessions!$A$2:$W$21,13,FALSE)="","",VLOOKUP($I35,Sessions!$A$2:$W$21,13,FALSE)),""))</f>
        <v>1</v>
      </c>
      <c r="K35" s="7">
        <f>IF(OR($I35="",$D35=""),"",IFERROR(IF(VLOOKUP($I35,Sessions!$A$2:$W$21,20,FALSE)="","",VLOOKUP($I35,Sessions!$A$2:$W$21,20,FALSE)),""))</f>
        <v>1</v>
      </c>
      <c r="L35" s="3"/>
      <c r="M35" s="3"/>
      <c r="N35" s="3"/>
      <c r="O35" s="3"/>
      <c r="P35" s="4"/>
    </row>
    <row r="36" spans="1:16" ht="23.1" customHeight="1">
      <c r="A36" s="3">
        <v>35</v>
      </c>
      <c r="B36" s="5">
        <v>196</v>
      </c>
      <c r="C36" s="4" t="s">
        <v>82</v>
      </c>
      <c r="D36" s="6">
        <v>0.99850000000000005</v>
      </c>
      <c r="E36" s="8">
        <f>IF(OR($I36="",$D36=""),"",IFERROR(IF(VLOOKUP($I36,Sessions!$A$2:$W$21,2,FALSE)="","",VLOOKUP($I36,Sessions!$A$2:$W$21,2,FALSE)),""))</f>
        <v>46268</v>
      </c>
      <c r="F36" s="9">
        <v>0.74375000000000002</v>
      </c>
      <c r="G36" s="3" t="str">
        <f>IF(OR($I36="",$D36=""),"",IFERROR(IF(VLOOKUP($I36,Sessions!$A$2:$W$21,5,FALSE)="","",VLOOKUP($I36,Sessions!$A$2:$W$21,5,FALSE)),""))</f>
        <v>Timmy D. Bell</v>
      </c>
      <c r="H36" s="3" t="s">
        <v>18</v>
      </c>
      <c r="I36" s="4">
        <v>1</v>
      </c>
      <c r="J36" s="7">
        <f>IF(OR($I36="",$D36=""),"",IFERROR(IF(VLOOKUP($I36,Sessions!$A$2:$W$21,13,FALSE)="","",VLOOKUP($I36,Sessions!$A$2:$W$21,13,FALSE)),""))</f>
        <v>1</v>
      </c>
      <c r="K36" s="7">
        <f>IF(OR($I36="",$D36=""),"",IFERROR(IF(VLOOKUP($I36,Sessions!$A$2:$W$21,20,FALSE)="","",VLOOKUP($I36,Sessions!$A$2:$W$21,20,FALSE)),""))</f>
        <v>1</v>
      </c>
      <c r="L36" s="3"/>
      <c r="M36" s="3"/>
      <c r="N36" s="3"/>
      <c r="O36" s="3"/>
      <c r="P36" s="4"/>
    </row>
    <row r="37" spans="1:16" ht="23.1" customHeight="1">
      <c r="A37" s="3">
        <v>36</v>
      </c>
      <c r="B37" s="5">
        <v>148</v>
      </c>
      <c r="C37" s="4" t="s">
        <v>82</v>
      </c>
      <c r="D37" s="6">
        <v>1.0049999999999999</v>
      </c>
      <c r="E37" s="8">
        <f>IF(OR($I37="",$D37=""),"",IFERROR(IF(VLOOKUP($I37,Sessions!$A$2:$W$21,2,FALSE)="","",VLOOKUP($I37,Sessions!$A$2:$W$21,2,FALSE)),""))</f>
        <v>46268</v>
      </c>
      <c r="F37" s="9">
        <v>0.74444444444444446</v>
      </c>
      <c r="G37" s="3" t="str">
        <f>IF(OR($I37="",$D37=""),"",IFERROR(IF(VLOOKUP($I37,Sessions!$A$2:$W$21,5,FALSE)="","",VLOOKUP($I37,Sessions!$A$2:$W$21,5,FALSE)),""))</f>
        <v>Timmy D. Bell</v>
      </c>
      <c r="H37" s="3" t="s">
        <v>18</v>
      </c>
      <c r="I37" s="4">
        <v>1</v>
      </c>
      <c r="J37" s="7">
        <f>IF(OR($I37="",$D37=""),"",IFERROR(IF(VLOOKUP($I37,Sessions!$A$2:$W$21,13,FALSE)="","",VLOOKUP($I37,Sessions!$A$2:$W$21,13,FALSE)),""))</f>
        <v>1</v>
      </c>
      <c r="K37" s="7">
        <f>IF(OR($I37="",$D37=""),"",IFERROR(IF(VLOOKUP($I37,Sessions!$A$2:$W$21,20,FALSE)="","",VLOOKUP($I37,Sessions!$A$2:$W$21,20,FALSE)),""))</f>
        <v>1</v>
      </c>
      <c r="L37" s="3"/>
      <c r="M37" s="3"/>
      <c r="N37" s="3"/>
      <c r="O37" s="3"/>
      <c r="P37" s="4"/>
    </row>
    <row r="38" spans="1:16" ht="23.1" customHeight="1">
      <c r="A38" s="3">
        <v>37</v>
      </c>
      <c r="B38" s="5">
        <v>111</v>
      </c>
      <c r="C38" s="4" t="s">
        <v>82</v>
      </c>
      <c r="D38" s="6">
        <v>1.0015000000000001</v>
      </c>
      <c r="E38" s="8">
        <f>IF(OR($I38="",$D38=""),"",IFERROR(IF(VLOOKUP($I38,Sessions!$A$2:$W$21,2,FALSE)="","",VLOOKUP($I38,Sessions!$A$2:$W$21,2,FALSE)),""))</f>
        <v>46268</v>
      </c>
      <c r="F38" s="9">
        <v>0.74444444444444446</v>
      </c>
      <c r="G38" s="3" t="str">
        <f>IF(OR($I38="",$D38=""),"",IFERROR(IF(VLOOKUP($I38,Sessions!$A$2:$W$21,5,FALSE)="","",VLOOKUP($I38,Sessions!$A$2:$W$21,5,FALSE)),""))</f>
        <v>Timmy D. Bell</v>
      </c>
      <c r="H38" s="3" t="s">
        <v>18</v>
      </c>
      <c r="I38" s="4">
        <v>1</v>
      </c>
      <c r="J38" s="7">
        <f>IF(OR($I38="",$D38=""),"",IFERROR(IF(VLOOKUP($I38,Sessions!$A$2:$W$21,13,FALSE)="","",VLOOKUP($I38,Sessions!$A$2:$W$21,13,FALSE)),""))</f>
        <v>1</v>
      </c>
      <c r="K38" s="7">
        <f>IF(OR($I38="",$D38=""),"",IFERROR(IF(VLOOKUP($I38,Sessions!$A$2:$W$21,20,FALSE)="","",VLOOKUP($I38,Sessions!$A$2:$W$21,20,FALSE)),""))</f>
        <v>1</v>
      </c>
      <c r="L38" s="3"/>
      <c r="M38" s="3"/>
      <c r="N38" s="3"/>
      <c r="O38" s="3"/>
      <c r="P38" s="4"/>
    </row>
    <row r="39" spans="1:16" ht="23.1" customHeight="1">
      <c r="A39" s="3">
        <v>38</v>
      </c>
      <c r="B39" s="5">
        <v>98</v>
      </c>
      <c r="C39" s="4" t="s">
        <v>82</v>
      </c>
      <c r="D39" s="6">
        <v>0.999</v>
      </c>
      <c r="E39" s="8">
        <f>IF(OR($I39="",$D39=""),"",IFERROR(IF(VLOOKUP($I39,Sessions!$A$2:$W$21,2,FALSE)="","",VLOOKUP($I39,Sessions!$A$2:$W$21,2,FALSE)),""))</f>
        <v>46268</v>
      </c>
      <c r="F39" s="9">
        <v>0.74444444444444446</v>
      </c>
      <c r="G39" s="3" t="str">
        <f>IF(OR($I39="",$D39=""),"",IFERROR(IF(VLOOKUP($I39,Sessions!$A$2:$W$21,5,FALSE)="","",VLOOKUP($I39,Sessions!$A$2:$W$21,5,FALSE)),""))</f>
        <v>Timmy D. Bell</v>
      </c>
      <c r="H39" s="3" t="s">
        <v>18</v>
      </c>
      <c r="I39" s="4">
        <v>1</v>
      </c>
      <c r="J39" s="7">
        <f>IF(OR($I39="",$D39=""),"",IFERROR(IF(VLOOKUP($I39,Sessions!$A$2:$W$21,13,FALSE)="","",VLOOKUP($I39,Sessions!$A$2:$W$21,13,FALSE)),""))</f>
        <v>1</v>
      </c>
      <c r="K39" s="7">
        <f>IF(OR($I39="",$D39=""),"",IFERROR(IF(VLOOKUP($I39,Sessions!$A$2:$W$21,20,FALSE)="","",VLOOKUP($I39,Sessions!$A$2:$W$21,20,FALSE)),""))</f>
        <v>1</v>
      </c>
      <c r="L39" s="3"/>
      <c r="M39" s="3"/>
      <c r="N39" s="3"/>
      <c r="O39" s="3"/>
      <c r="P39" s="4"/>
    </row>
    <row r="40" spans="1:16" ht="23.1" customHeight="1">
      <c r="A40" s="3">
        <v>39</v>
      </c>
      <c r="B40" s="5">
        <v>227</v>
      </c>
      <c r="C40" s="4" t="s">
        <v>82</v>
      </c>
      <c r="D40" s="6">
        <v>1.0029999999999999</v>
      </c>
      <c r="E40" s="8">
        <f>IF(OR($I40="",$D40=""),"",IFERROR(IF(VLOOKUP($I40,Sessions!$A$2:$W$21,2,FALSE)="","",VLOOKUP($I40,Sessions!$A$2:$W$21,2,FALSE)),""))</f>
        <v>46268</v>
      </c>
      <c r="F40" s="9">
        <v>0.74513888888888891</v>
      </c>
      <c r="G40" s="3" t="str">
        <f>IF(OR($I40="",$D40=""),"",IFERROR(IF(VLOOKUP($I40,Sessions!$A$2:$W$21,5,FALSE)="","",VLOOKUP($I40,Sessions!$A$2:$W$21,5,FALSE)),""))</f>
        <v>Timmy D. Bell</v>
      </c>
      <c r="H40" s="3" t="s">
        <v>18</v>
      </c>
      <c r="I40" s="4">
        <v>1</v>
      </c>
      <c r="J40" s="7">
        <f>IF(OR($I40="",$D40=""),"",IFERROR(IF(VLOOKUP($I40,Sessions!$A$2:$W$21,13,FALSE)="","",VLOOKUP($I40,Sessions!$A$2:$W$21,13,FALSE)),""))</f>
        <v>1</v>
      </c>
      <c r="K40" s="7">
        <f>IF(OR($I40="",$D40=""),"",IFERROR(IF(VLOOKUP($I40,Sessions!$A$2:$W$21,20,FALSE)="","",VLOOKUP($I40,Sessions!$A$2:$W$21,20,FALSE)),""))</f>
        <v>1</v>
      </c>
      <c r="L40" s="3"/>
      <c r="M40" s="3"/>
      <c r="N40" s="3"/>
      <c r="O40" s="3"/>
      <c r="P40" s="4"/>
    </row>
    <row r="41" spans="1:16" ht="23.1" customHeight="1">
      <c r="A41" s="3">
        <v>40</v>
      </c>
      <c r="B41" s="5">
        <v>192</v>
      </c>
      <c r="C41" s="4" t="s">
        <v>82</v>
      </c>
      <c r="D41" s="6">
        <v>1.0029999999999999</v>
      </c>
      <c r="E41" s="8">
        <f>IF(OR($I41="",$D41=""),"",IFERROR(IF(VLOOKUP($I41,Sessions!$A$2:$W$21,2,FALSE)="","",VLOOKUP($I41,Sessions!$A$2:$W$21,2,FALSE)),""))</f>
        <v>46268</v>
      </c>
      <c r="F41" s="9">
        <v>0.74513888888888891</v>
      </c>
      <c r="G41" s="3" t="str">
        <f>IF(OR($I41="",$D41=""),"",IFERROR(IF(VLOOKUP($I41,Sessions!$A$2:$W$21,5,FALSE)="","",VLOOKUP($I41,Sessions!$A$2:$W$21,5,FALSE)),""))</f>
        <v>Timmy D. Bell</v>
      </c>
      <c r="H41" s="3" t="s">
        <v>18</v>
      </c>
      <c r="I41" s="4">
        <v>1</v>
      </c>
      <c r="J41" s="7">
        <f>IF(OR($I41="",$D41=""),"",IFERROR(IF(VLOOKUP($I41,Sessions!$A$2:$W$21,13,FALSE)="","",VLOOKUP($I41,Sessions!$A$2:$W$21,13,FALSE)),""))</f>
        <v>1</v>
      </c>
      <c r="K41" s="7">
        <f>IF(OR($I41="",$D41=""),"",IFERROR(IF(VLOOKUP($I41,Sessions!$A$2:$W$21,20,FALSE)="","",VLOOKUP($I41,Sessions!$A$2:$W$21,20,FALSE)),""))</f>
        <v>1</v>
      </c>
      <c r="L41" s="3"/>
      <c r="M41" s="3"/>
      <c r="N41" s="3"/>
      <c r="O41" s="3"/>
      <c r="P41" s="4"/>
    </row>
    <row r="42" spans="1:16" ht="23.1" customHeight="1">
      <c r="A42" s="3">
        <v>41</v>
      </c>
      <c r="B42" s="5">
        <v>120</v>
      </c>
      <c r="C42" s="4" t="s">
        <v>82</v>
      </c>
      <c r="D42" s="6">
        <v>0.996</v>
      </c>
      <c r="E42" s="8">
        <f>IF(OR($I42="",$D42=""),"",IFERROR(IF(VLOOKUP($I42,Sessions!$A$2:$W$21,2,FALSE)="","",VLOOKUP($I42,Sessions!$A$2:$W$21,2,FALSE)),""))</f>
        <v>46268</v>
      </c>
      <c r="F42" s="9">
        <v>0.74513888888888891</v>
      </c>
      <c r="G42" s="3" t="str">
        <f>IF(OR($I42="",$D42=""),"",IFERROR(IF(VLOOKUP($I42,Sessions!$A$2:$W$21,5,FALSE)="","",VLOOKUP($I42,Sessions!$A$2:$W$21,5,FALSE)),""))</f>
        <v>Timmy D. Bell</v>
      </c>
      <c r="H42" s="3" t="s">
        <v>18</v>
      </c>
      <c r="I42" s="4">
        <v>1</v>
      </c>
      <c r="J42" s="7">
        <f>IF(OR($I42="",$D42=""),"",IFERROR(IF(VLOOKUP($I42,Sessions!$A$2:$W$21,13,FALSE)="","",VLOOKUP($I42,Sessions!$A$2:$W$21,13,FALSE)),""))</f>
        <v>1</v>
      </c>
      <c r="K42" s="7">
        <f>IF(OR($I42="",$D42=""),"",IFERROR(IF(VLOOKUP($I42,Sessions!$A$2:$W$21,20,FALSE)="","",VLOOKUP($I42,Sessions!$A$2:$W$21,20,FALSE)),""))</f>
        <v>1</v>
      </c>
      <c r="L42" s="3"/>
      <c r="M42" s="3"/>
      <c r="N42" s="3"/>
      <c r="O42" s="3"/>
      <c r="P42" s="4"/>
    </row>
    <row r="43" spans="1:16" ht="23.1" customHeight="1">
      <c r="A43" s="3">
        <v>42</v>
      </c>
      <c r="B43" s="5">
        <v>195</v>
      </c>
      <c r="C43" s="4" t="s">
        <v>82</v>
      </c>
      <c r="D43" s="6">
        <v>1.0004999999999999</v>
      </c>
      <c r="E43" s="8">
        <f>IF(OR($I43="",$D43=""),"",IFERROR(IF(VLOOKUP($I43,Sessions!$A$2:$W$21,2,FALSE)="","",VLOOKUP($I43,Sessions!$A$2:$W$21,2,FALSE)),""))</f>
        <v>46268</v>
      </c>
      <c r="F43" s="9">
        <v>0.74583333333333335</v>
      </c>
      <c r="G43" s="3" t="str">
        <f>IF(OR($I43="",$D43=""),"",IFERROR(IF(VLOOKUP($I43,Sessions!$A$2:$W$21,5,FALSE)="","",VLOOKUP($I43,Sessions!$A$2:$W$21,5,FALSE)),""))</f>
        <v>Timmy D. Bell</v>
      </c>
      <c r="H43" s="3" t="s">
        <v>18</v>
      </c>
      <c r="I43" s="4">
        <v>1</v>
      </c>
      <c r="J43" s="7">
        <f>IF(OR($I43="",$D43=""),"",IFERROR(IF(VLOOKUP($I43,Sessions!$A$2:$W$21,13,FALSE)="","",VLOOKUP($I43,Sessions!$A$2:$W$21,13,FALSE)),""))</f>
        <v>1</v>
      </c>
      <c r="K43" s="7">
        <f>IF(OR($I43="",$D43=""),"",IFERROR(IF(VLOOKUP($I43,Sessions!$A$2:$W$21,20,FALSE)="","",VLOOKUP($I43,Sessions!$A$2:$W$21,20,FALSE)),""))</f>
        <v>1</v>
      </c>
      <c r="L43" s="3"/>
      <c r="M43" s="3"/>
      <c r="N43" s="3"/>
      <c r="O43" s="3"/>
      <c r="P43" s="4"/>
    </row>
    <row r="44" spans="1:16" ht="23.1" customHeight="1">
      <c r="A44" s="3">
        <v>43</v>
      </c>
      <c r="B44" s="5">
        <v>150</v>
      </c>
      <c r="C44" s="4" t="s">
        <v>82</v>
      </c>
      <c r="D44" s="6">
        <v>0.97899999999999998</v>
      </c>
      <c r="E44" s="8">
        <f>IF(OR($I44="",$D44=""),"",IFERROR(IF(VLOOKUP($I44,Sessions!$A$2:$W$21,2,FALSE)="","",VLOOKUP($I44,Sessions!$A$2:$W$21,2,FALSE)),""))</f>
        <v>46268</v>
      </c>
      <c r="F44" s="9">
        <v>0.74583333333333335</v>
      </c>
      <c r="G44" s="3" t="str">
        <f>IF(OR($I44="",$D44=""),"",IFERROR(IF(VLOOKUP($I44,Sessions!$A$2:$W$21,5,FALSE)="","",VLOOKUP($I44,Sessions!$A$2:$W$21,5,FALSE)),""))</f>
        <v>Timmy D. Bell</v>
      </c>
      <c r="H44" s="3" t="s">
        <v>18</v>
      </c>
      <c r="I44" s="4">
        <v>1</v>
      </c>
      <c r="J44" s="7">
        <f>IF(OR($I44="",$D44=""),"",IFERROR(IF(VLOOKUP($I44,Sessions!$A$2:$W$21,13,FALSE)="","",VLOOKUP($I44,Sessions!$A$2:$W$21,13,FALSE)),""))</f>
        <v>1</v>
      </c>
      <c r="K44" s="7">
        <f>IF(OR($I44="",$D44=""),"",IFERROR(IF(VLOOKUP($I44,Sessions!$A$2:$W$21,20,FALSE)="","",VLOOKUP($I44,Sessions!$A$2:$W$21,20,FALSE)),""))</f>
        <v>1</v>
      </c>
      <c r="L44" s="3"/>
      <c r="M44" s="3"/>
      <c r="N44" s="3"/>
      <c r="O44" s="3"/>
      <c r="P44" s="4"/>
    </row>
    <row r="45" spans="1:16" ht="23.1" customHeight="1">
      <c r="A45" s="3">
        <v>44</v>
      </c>
      <c r="B45" s="5">
        <v>91</v>
      </c>
      <c r="C45" s="4" t="s">
        <v>82</v>
      </c>
      <c r="D45" s="6">
        <v>0.99099999999999999</v>
      </c>
      <c r="E45" s="8">
        <f>IF(OR($I45="",$D45=""),"",IFERROR(IF(VLOOKUP($I45,Sessions!$A$2:$W$21,2,FALSE)="","",VLOOKUP($I45,Sessions!$A$2:$W$21,2,FALSE)),""))</f>
        <v>46268</v>
      </c>
      <c r="F45" s="9">
        <v>0.74652777777777779</v>
      </c>
      <c r="G45" s="3" t="str">
        <f>IF(OR($I45="",$D45=""),"",IFERROR(IF(VLOOKUP($I45,Sessions!$A$2:$W$21,5,FALSE)="","",VLOOKUP($I45,Sessions!$A$2:$W$21,5,FALSE)),""))</f>
        <v>Timmy D. Bell</v>
      </c>
      <c r="H45" s="3" t="s">
        <v>18</v>
      </c>
      <c r="I45" s="4">
        <v>1</v>
      </c>
      <c r="J45" s="7">
        <f>IF(OR($I45="",$D45=""),"",IFERROR(IF(VLOOKUP($I45,Sessions!$A$2:$W$21,13,FALSE)="","",VLOOKUP($I45,Sessions!$A$2:$W$21,13,FALSE)),""))</f>
        <v>1</v>
      </c>
      <c r="K45" s="7">
        <f>IF(OR($I45="",$D45=""),"",IFERROR(IF(VLOOKUP($I45,Sessions!$A$2:$W$21,20,FALSE)="","",VLOOKUP($I45,Sessions!$A$2:$W$21,20,FALSE)),""))</f>
        <v>1</v>
      </c>
      <c r="L45" s="3"/>
      <c r="M45" s="3"/>
      <c r="N45" s="3"/>
      <c r="O45" s="3"/>
      <c r="P45" s="4"/>
    </row>
    <row r="46" spans="1:16" ht="23.1" customHeight="1">
      <c r="A46" s="3">
        <v>45</v>
      </c>
      <c r="B46" s="5">
        <v>126</v>
      </c>
      <c r="C46" s="4" t="s">
        <v>82</v>
      </c>
      <c r="D46" s="6">
        <v>0.99650000000000005</v>
      </c>
      <c r="E46" s="8">
        <f>IF(OR($I46="",$D46=""),"",IFERROR(IF(VLOOKUP($I46,Sessions!$A$2:$W$21,2,FALSE)="","",VLOOKUP($I46,Sessions!$A$2:$W$21,2,FALSE)),""))</f>
        <v>46268</v>
      </c>
      <c r="F46" s="9">
        <v>0.74652777777777779</v>
      </c>
      <c r="G46" s="3" t="str">
        <f>IF(OR($I46="",$D46=""),"",IFERROR(IF(VLOOKUP($I46,Sessions!$A$2:$W$21,5,FALSE)="","",VLOOKUP($I46,Sessions!$A$2:$W$21,5,FALSE)),""))</f>
        <v>Timmy D. Bell</v>
      </c>
      <c r="H46" s="3" t="s">
        <v>18</v>
      </c>
      <c r="I46" s="4">
        <v>1</v>
      </c>
      <c r="J46" s="7">
        <f>IF(OR($I46="",$D46=""),"",IFERROR(IF(VLOOKUP($I46,Sessions!$A$2:$W$21,13,FALSE)="","",VLOOKUP($I46,Sessions!$A$2:$W$21,13,FALSE)),""))</f>
        <v>1</v>
      </c>
      <c r="K46" s="7">
        <f>IF(OR($I46="",$D46=""),"",IFERROR(IF(VLOOKUP($I46,Sessions!$A$2:$W$21,20,FALSE)="","",VLOOKUP($I46,Sessions!$A$2:$W$21,20,FALSE)),""))</f>
        <v>1</v>
      </c>
      <c r="L46" s="3"/>
      <c r="M46" s="3"/>
      <c r="N46" s="3"/>
      <c r="O46" s="3"/>
      <c r="P46" s="4"/>
    </row>
    <row r="47" spans="1:16" ht="23.1" customHeight="1">
      <c r="A47" s="3">
        <v>46</v>
      </c>
      <c r="B47" s="5">
        <v>169</v>
      </c>
      <c r="C47" s="4" t="s">
        <v>82</v>
      </c>
      <c r="D47" s="6">
        <v>1.028</v>
      </c>
      <c r="E47" s="8">
        <f>IF(OR($I47="",$D47=""),"",IFERROR(IF(VLOOKUP($I47,Sessions!$A$2:$W$21,2,FALSE)="","",VLOOKUP($I47,Sessions!$A$2:$W$21,2,FALSE)),""))</f>
        <v>46268</v>
      </c>
      <c r="F47" s="9">
        <v>0.74652777777777779</v>
      </c>
      <c r="G47" s="3" t="str">
        <f>IF(OR($I47="",$D47=""),"",IFERROR(IF(VLOOKUP($I47,Sessions!$A$2:$W$21,5,FALSE)="","",VLOOKUP($I47,Sessions!$A$2:$W$21,5,FALSE)),""))</f>
        <v>Timmy D. Bell</v>
      </c>
      <c r="H47" s="3" t="s">
        <v>18</v>
      </c>
      <c r="I47" s="4">
        <v>1</v>
      </c>
      <c r="J47" s="7">
        <f>IF(OR($I47="",$D47=""),"",IFERROR(IF(VLOOKUP($I47,Sessions!$A$2:$W$21,13,FALSE)="","",VLOOKUP($I47,Sessions!$A$2:$W$21,13,FALSE)),""))</f>
        <v>1</v>
      </c>
      <c r="K47" s="7">
        <f>IF(OR($I47="",$D47=""),"",IFERROR(IF(VLOOKUP($I47,Sessions!$A$2:$W$21,20,FALSE)="","",VLOOKUP($I47,Sessions!$A$2:$W$21,20,FALSE)),""))</f>
        <v>1</v>
      </c>
      <c r="L47" s="3"/>
      <c r="M47" s="3"/>
      <c r="N47" s="3"/>
      <c r="O47" s="3"/>
      <c r="P47" s="4"/>
    </row>
    <row r="48" spans="1:16" ht="23.1" customHeight="1">
      <c r="A48" s="3">
        <v>47</v>
      </c>
      <c r="B48" s="5">
        <v>71</v>
      </c>
      <c r="C48" s="4" t="s">
        <v>82</v>
      </c>
      <c r="D48" s="6">
        <v>0.999</v>
      </c>
      <c r="E48" s="8">
        <f>IF(OR($I48="",$D48=""),"",IFERROR(IF(VLOOKUP($I48,Sessions!$A$2:$W$21,2,FALSE)="","",VLOOKUP($I48,Sessions!$A$2:$W$21,2,FALSE)),""))</f>
        <v>46268</v>
      </c>
      <c r="F48" s="9">
        <v>0.74722222222222223</v>
      </c>
      <c r="G48" s="3" t="str">
        <f>IF(OR($I48="",$D48=""),"",IFERROR(IF(VLOOKUP($I48,Sessions!$A$2:$W$21,5,FALSE)="","",VLOOKUP($I48,Sessions!$A$2:$W$21,5,FALSE)),""))</f>
        <v>Timmy D. Bell</v>
      </c>
      <c r="H48" s="3" t="s">
        <v>18</v>
      </c>
      <c r="I48" s="4">
        <v>1</v>
      </c>
      <c r="J48" s="7">
        <f>IF(OR($I48="",$D48=""),"",IFERROR(IF(VLOOKUP($I48,Sessions!$A$2:$W$21,13,FALSE)="","",VLOOKUP($I48,Sessions!$A$2:$W$21,13,FALSE)),""))</f>
        <v>1</v>
      </c>
      <c r="K48" s="7">
        <f>IF(OR($I48="",$D48=""),"",IFERROR(IF(VLOOKUP($I48,Sessions!$A$2:$W$21,20,FALSE)="","",VLOOKUP($I48,Sessions!$A$2:$W$21,20,FALSE)),""))</f>
        <v>1</v>
      </c>
      <c r="L48" s="3"/>
      <c r="M48" s="3"/>
      <c r="N48" s="3"/>
      <c r="O48" s="3"/>
      <c r="P48" s="4"/>
    </row>
    <row r="49" spans="1:16" ht="23.1" customHeight="1">
      <c r="A49" s="3">
        <v>48</v>
      </c>
      <c r="B49" s="5">
        <v>129</v>
      </c>
      <c r="C49" s="4" t="s">
        <v>82</v>
      </c>
      <c r="D49" s="6">
        <v>0.99150000000000005</v>
      </c>
      <c r="E49" s="8">
        <f>IF(OR($I49="",$D49=""),"",IFERROR(IF(VLOOKUP($I49,Sessions!$A$2:$W$21,2,FALSE)="","",VLOOKUP($I49,Sessions!$A$2:$W$21,2,FALSE)),""))</f>
        <v>46268</v>
      </c>
      <c r="F49" s="9">
        <v>0.74722222222222223</v>
      </c>
      <c r="G49" s="3" t="str">
        <f>IF(OR($I49="",$D49=""),"",IFERROR(IF(VLOOKUP($I49,Sessions!$A$2:$W$21,5,FALSE)="","",VLOOKUP($I49,Sessions!$A$2:$W$21,5,FALSE)),""))</f>
        <v>Timmy D. Bell</v>
      </c>
      <c r="H49" s="3" t="s">
        <v>18</v>
      </c>
      <c r="I49" s="4">
        <v>1</v>
      </c>
      <c r="J49" s="7">
        <f>IF(OR($I49="",$D49=""),"",IFERROR(IF(VLOOKUP($I49,Sessions!$A$2:$W$21,13,FALSE)="","",VLOOKUP($I49,Sessions!$A$2:$W$21,13,FALSE)),""))</f>
        <v>1</v>
      </c>
      <c r="K49" s="7">
        <f>IF(OR($I49="",$D49=""),"",IFERROR(IF(VLOOKUP($I49,Sessions!$A$2:$W$21,20,FALSE)="","",VLOOKUP($I49,Sessions!$A$2:$W$21,20,FALSE)),""))</f>
        <v>1</v>
      </c>
      <c r="L49" s="3"/>
      <c r="M49" s="3"/>
      <c r="N49" s="3"/>
      <c r="O49" s="3"/>
      <c r="P49" s="4"/>
    </row>
    <row r="50" spans="1:16" ht="23.1" customHeight="1">
      <c r="A50" s="3">
        <v>49</v>
      </c>
      <c r="B50" s="5">
        <v>124</v>
      </c>
      <c r="C50" s="4" t="s">
        <v>82</v>
      </c>
      <c r="D50" s="6">
        <v>1.0089999999999999</v>
      </c>
      <c r="E50" s="8">
        <f>IF(OR($I50="",$D50=""),"",IFERROR(IF(VLOOKUP($I50,Sessions!$A$2:$W$21,2,FALSE)="","",VLOOKUP($I50,Sessions!$A$2:$W$21,2,FALSE)),""))</f>
        <v>46268</v>
      </c>
      <c r="F50" s="9">
        <v>0.74722222222222223</v>
      </c>
      <c r="G50" s="3" t="str">
        <f>IF(OR($I50="",$D50=""),"",IFERROR(IF(VLOOKUP($I50,Sessions!$A$2:$W$21,5,FALSE)="","",VLOOKUP($I50,Sessions!$A$2:$W$21,5,FALSE)),""))</f>
        <v>Timmy D. Bell</v>
      </c>
      <c r="H50" s="3" t="s">
        <v>18</v>
      </c>
      <c r="I50" s="4">
        <v>1</v>
      </c>
      <c r="J50" s="7">
        <f>IF(OR($I50="",$D50=""),"",IFERROR(IF(VLOOKUP($I50,Sessions!$A$2:$W$21,13,FALSE)="","",VLOOKUP($I50,Sessions!$A$2:$W$21,13,FALSE)),""))</f>
        <v>1</v>
      </c>
      <c r="K50" s="7">
        <f>IF(OR($I50="",$D50=""),"",IFERROR(IF(VLOOKUP($I50,Sessions!$A$2:$W$21,20,FALSE)="","",VLOOKUP($I50,Sessions!$A$2:$W$21,20,FALSE)),""))</f>
        <v>1</v>
      </c>
      <c r="L50" s="3"/>
      <c r="M50" s="3"/>
      <c r="N50" s="3"/>
      <c r="O50" s="3"/>
      <c r="P50" s="4"/>
    </row>
    <row r="51" spans="1:16" ht="23.1" customHeight="1">
      <c r="A51" s="3">
        <v>50</v>
      </c>
      <c r="B51" s="5">
        <v>140</v>
      </c>
      <c r="C51" s="4" t="s">
        <v>82</v>
      </c>
      <c r="D51" s="6">
        <v>1.0285</v>
      </c>
      <c r="E51" s="8">
        <f>IF(OR($I51="",$D51=""),"",IFERROR(IF(VLOOKUP($I51,Sessions!$A$2:$W$21,2,FALSE)="","",VLOOKUP($I51,Sessions!$A$2:$W$21,2,FALSE)),""))</f>
        <v>46268</v>
      </c>
      <c r="F51" s="9">
        <v>0.74791666666666667</v>
      </c>
      <c r="G51" s="3" t="str">
        <f>IF(OR($I51="",$D51=""),"",IFERROR(IF(VLOOKUP($I51,Sessions!$A$2:$W$21,5,FALSE)="","",VLOOKUP($I51,Sessions!$A$2:$W$21,5,FALSE)),""))</f>
        <v>Timmy D. Bell</v>
      </c>
      <c r="H51" s="3" t="s">
        <v>18</v>
      </c>
      <c r="I51" s="4">
        <v>1</v>
      </c>
      <c r="J51" s="7">
        <f>IF(OR($I51="",$D51=""),"",IFERROR(IF(VLOOKUP($I51,Sessions!$A$2:$W$21,13,FALSE)="","",VLOOKUP($I51,Sessions!$A$2:$W$21,13,FALSE)),""))</f>
        <v>1</v>
      </c>
      <c r="K51" s="7">
        <f>IF(OR($I51="",$D51=""),"",IFERROR(IF(VLOOKUP($I51,Sessions!$A$2:$W$21,20,FALSE)="","",VLOOKUP($I51,Sessions!$A$2:$W$21,20,FALSE)),""))</f>
        <v>1</v>
      </c>
      <c r="L51" s="3"/>
      <c r="M51" s="3"/>
      <c r="N51" s="3"/>
      <c r="O51" s="3"/>
      <c r="P51" s="4"/>
    </row>
    <row r="52" spans="1:16" ht="23.1" customHeight="1">
      <c r="A52" s="3">
        <v>51</v>
      </c>
      <c r="B52" s="5">
        <v>77</v>
      </c>
      <c r="C52" s="4" t="s">
        <v>82</v>
      </c>
      <c r="D52" s="6">
        <v>1.024</v>
      </c>
      <c r="E52" s="8">
        <f>IF(OR($I52="",$D52=""),"",IFERROR(IF(VLOOKUP($I52,Sessions!$A$2:$W$21,2,FALSE)="","",VLOOKUP($I52,Sessions!$A$2:$W$21,2,FALSE)),""))</f>
        <v>46268</v>
      </c>
      <c r="F52" s="9">
        <v>0.74791666666666667</v>
      </c>
      <c r="G52" s="3" t="str">
        <f>IF(OR($I52="",$D52=""),"",IFERROR(IF(VLOOKUP($I52,Sessions!$A$2:$W$21,5,FALSE)="","",VLOOKUP($I52,Sessions!$A$2:$W$21,5,FALSE)),""))</f>
        <v>Timmy D. Bell</v>
      </c>
      <c r="H52" s="3" t="s">
        <v>18</v>
      </c>
      <c r="I52" s="4">
        <v>1</v>
      </c>
      <c r="J52" s="7">
        <f>IF(OR($I52="",$D52=""),"",IFERROR(IF(VLOOKUP($I52,Sessions!$A$2:$W$21,13,FALSE)="","",VLOOKUP($I52,Sessions!$A$2:$W$21,13,FALSE)),""))</f>
        <v>1</v>
      </c>
      <c r="K52" s="7">
        <f>IF(OR($I52="",$D52=""),"",IFERROR(IF(VLOOKUP($I52,Sessions!$A$2:$W$21,20,FALSE)="","",VLOOKUP($I52,Sessions!$A$2:$W$21,20,FALSE)),""))</f>
        <v>1</v>
      </c>
      <c r="L52" s="3"/>
      <c r="M52" s="3"/>
      <c r="N52" s="3"/>
      <c r="O52" s="3"/>
      <c r="P52" s="4"/>
    </row>
    <row r="53" spans="1:16" ht="23.1" customHeight="1">
      <c r="A53" s="3">
        <v>52</v>
      </c>
      <c r="B53" s="5">
        <v>36</v>
      </c>
      <c r="C53" s="4" t="s">
        <v>82</v>
      </c>
      <c r="D53" s="6">
        <v>1.0029999999999999</v>
      </c>
      <c r="E53" s="8">
        <f>IF(OR($I53="",$D53=""),"",IFERROR(IF(VLOOKUP($I53,Sessions!$A$2:$W$21,2,FALSE)="","",VLOOKUP($I53,Sessions!$A$2:$W$21,2,FALSE)),""))</f>
        <v>46268</v>
      </c>
      <c r="F53" s="9">
        <v>0.74791666666666667</v>
      </c>
      <c r="G53" s="3" t="str">
        <f>IF(OR($I53="",$D53=""),"",IFERROR(IF(VLOOKUP($I53,Sessions!$A$2:$W$21,5,FALSE)="","",VLOOKUP($I53,Sessions!$A$2:$W$21,5,FALSE)),""))</f>
        <v>Timmy D. Bell</v>
      </c>
      <c r="H53" s="3" t="s">
        <v>18</v>
      </c>
      <c r="I53" s="4">
        <v>1</v>
      </c>
      <c r="J53" s="7">
        <f>IF(OR($I53="",$D53=""),"",IFERROR(IF(VLOOKUP($I53,Sessions!$A$2:$W$21,13,FALSE)="","",VLOOKUP($I53,Sessions!$A$2:$W$21,13,FALSE)),""))</f>
        <v>1</v>
      </c>
      <c r="K53" s="7">
        <f>IF(OR($I53="",$D53=""),"",IFERROR(IF(VLOOKUP($I53,Sessions!$A$2:$W$21,20,FALSE)="","",VLOOKUP($I53,Sessions!$A$2:$W$21,20,FALSE)),""))</f>
        <v>1</v>
      </c>
      <c r="L53" s="3"/>
      <c r="M53" s="3"/>
      <c r="N53" s="3"/>
      <c r="O53" s="3"/>
      <c r="P53" s="4"/>
    </row>
    <row r="54" spans="1:16" ht="23.1" customHeight="1">
      <c r="A54" s="3">
        <v>53</v>
      </c>
      <c r="B54" s="5">
        <v>29</v>
      </c>
      <c r="C54" s="4" t="s">
        <v>82</v>
      </c>
      <c r="D54" s="6">
        <v>0.99650000000000005</v>
      </c>
      <c r="E54" s="8">
        <f>IF(OR($I54="",$D54=""),"",IFERROR(IF(VLOOKUP($I54,Sessions!$A$2:$W$21,2,FALSE)="","",VLOOKUP($I54,Sessions!$A$2:$W$21,2,FALSE)),""))</f>
        <v>46268</v>
      </c>
      <c r="F54" s="9">
        <v>0.74791666666666667</v>
      </c>
      <c r="G54" s="3" t="str">
        <f>IF(OR($I54="",$D54=""),"",IFERROR(IF(VLOOKUP($I54,Sessions!$A$2:$W$21,5,FALSE)="","",VLOOKUP($I54,Sessions!$A$2:$W$21,5,FALSE)),""))</f>
        <v>Timmy D. Bell</v>
      </c>
      <c r="H54" s="3" t="s">
        <v>18</v>
      </c>
      <c r="I54" s="4">
        <v>1</v>
      </c>
      <c r="J54" s="7">
        <f>IF(OR($I54="",$D54=""),"",IFERROR(IF(VLOOKUP($I54,Sessions!$A$2:$W$21,13,FALSE)="","",VLOOKUP($I54,Sessions!$A$2:$W$21,13,FALSE)),""))</f>
        <v>1</v>
      </c>
      <c r="K54" s="7">
        <f>IF(OR($I54="",$D54=""),"",IFERROR(IF(VLOOKUP($I54,Sessions!$A$2:$W$21,20,FALSE)="","",VLOOKUP($I54,Sessions!$A$2:$W$21,20,FALSE)),""))</f>
        <v>1</v>
      </c>
      <c r="L54" s="3"/>
      <c r="M54" s="3"/>
      <c r="N54" s="3"/>
      <c r="O54" s="3"/>
      <c r="P54" s="4"/>
    </row>
    <row r="55" spans="1:16" ht="23.1" customHeight="1">
      <c r="A55" s="3">
        <v>54</v>
      </c>
      <c r="B55" s="5">
        <v>3</v>
      </c>
      <c r="C55" s="4" t="s">
        <v>82</v>
      </c>
      <c r="D55" s="6">
        <v>1.0015000000000001</v>
      </c>
      <c r="E55" s="8">
        <f>IF(OR($I55="",$D55=""),"",IFERROR(IF(VLOOKUP($I55,Sessions!$A$2:$W$21,2,FALSE)="","",VLOOKUP($I55,Sessions!$A$2:$W$21,2,FALSE)),""))</f>
        <v>46268</v>
      </c>
      <c r="F55" s="9">
        <v>0.74861111111111112</v>
      </c>
      <c r="G55" s="3" t="str">
        <f>IF(OR($I55="",$D55=""),"",IFERROR(IF(VLOOKUP($I55,Sessions!$A$2:$W$21,5,FALSE)="","",VLOOKUP($I55,Sessions!$A$2:$W$21,5,FALSE)),""))</f>
        <v>Timmy D. Bell</v>
      </c>
      <c r="H55" s="3" t="s">
        <v>18</v>
      </c>
      <c r="I55" s="4">
        <v>1</v>
      </c>
      <c r="J55" s="7">
        <f>IF(OR($I55="",$D55=""),"",IFERROR(IF(VLOOKUP($I55,Sessions!$A$2:$W$21,13,FALSE)="","",VLOOKUP($I55,Sessions!$A$2:$W$21,13,FALSE)),""))</f>
        <v>1</v>
      </c>
      <c r="K55" s="7">
        <f>IF(OR($I55="",$D55=""),"",IFERROR(IF(VLOOKUP($I55,Sessions!$A$2:$W$21,20,FALSE)="","",VLOOKUP($I55,Sessions!$A$2:$W$21,20,FALSE)),""))</f>
        <v>1</v>
      </c>
      <c r="L55" s="3"/>
      <c r="M55" s="3"/>
      <c r="N55" s="3"/>
      <c r="O55" s="3"/>
      <c r="P55" s="4"/>
    </row>
    <row r="56" spans="1:16" ht="23.1" customHeight="1">
      <c r="A56" s="3">
        <v>55</v>
      </c>
      <c r="B56" s="5">
        <v>117</v>
      </c>
      <c r="C56" s="4" t="s">
        <v>82</v>
      </c>
      <c r="D56" s="6">
        <v>1.028</v>
      </c>
      <c r="E56" s="8">
        <f>IF(OR($I56="",$D56=""),"",IFERROR(IF(VLOOKUP($I56,Sessions!$A$2:$W$21,2,FALSE)="","",VLOOKUP($I56,Sessions!$A$2:$W$21,2,FALSE)),""))</f>
        <v>46268</v>
      </c>
      <c r="F56" s="9">
        <v>0.74861111111111112</v>
      </c>
      <c r="G56" s="3" t="str">
        <f>IF(OR($I56="",$D56=""),"",IFERROR(IF(VLOOKUP($I56,Sessions!$A$2:$W$21,5,FALSE)="","",VLOOKUP($I56,Sessions!$A$2:$W$21,5,FALSE)),""))</f>
        <v>Timmy D. Bell</v>
      </c>
      <c r="H56" s="3" t="s">
        <v>18</v>
      </c>
      <c r="I56" s="4">
        <v>1</v>
      </c>
      <c r="J56" s="7">
        <f>IF(OR($I56="",$D56=""),"",IFERROR(IF(VLOOKUP($I56,Sessions!$A$2:$W$21,13,FALSE)="","",VLOOKUP($I56,Sessions!$A$2:$W$21,13,FALSE)),""))</f>
        <v>1</v>
      </c>
      <c r="K56" s="7">
        <f>IF(OR($I56="",$D56=""),"",IFERROR(IF(VLOOKUP($I56,Sessions!$A$2:$W$21,20,FALSE)="","",VLOOKUP($I56,Sessions!$A$2:$W$21,20,FALSE)),""))</f>
        <v>1</v>
      </c>
      <c r="L56" s="3"/>
      <c r="M56" s="3"/>
      <c r="N56" s="3"/>
      <c r="O56" s="3"/>
      <c r="P56" s="4"/>
    </row>
    <row r="57" spans="1:16" ht="23.1" customHeight="1">
      <c r="A57" s="3">
        <v>56</v>
      </c>
      <c r="B57" s="5">
        <v>183</v>
      </c>
      <c r="C57" s="4" t="s">
        <v>82</v>
      </c>
      <c r="D57" s="6">
        <v>0.999</v>
      </c>
      <c r="E57" s="8">
        <f>IF(OR($I57="",$D57=""),"",IFERROR(IF(VLOOKUP($I57,Sessions!$A$2:$W$21,2,FALSE)="","",VLOOKUP($I57,Sessions!$A$2:$W$21,2,FALSE)),""))</f>
        <v>46268</v>
      </c>
      <c r="F57" s="9">
        <v>0.74861111111111112</v>
      </c>
      <c r="G57" s="3" t="str">
        <f>IF(OR($I57="",$D57=""),"",IFERROR(IF(VLOOKUP($I57,Sessions!$A$2:$W$21,5,FALSE)="","",VLOOKUP($I57,Sessions!$A$2:$W$21,5,FALSE)),""))</f>
        <v>Timmy D. Bell</v>
      </c>
      <c r="H57" s="3" t="s">
        <v>18</v>
      </c>
      <c r="I57" s="4">
        <v>1</v>
      </c>
      <c r="J57" s="7">
        <f>IF(OR($I57="",$D57=""),"",IFERROR(IF(VLOOKUP($I57,Sessions!$A$2:$W$21,13,FALSE)="","",VLOOKUP($I57,Sessions!$A$2:$W$21,13,FALSE)),""))</f>
        <v>1</v>
      </c>
      <c r="K57" s="7">
        <f>IF(OR($I57="",$D57=""),"",IFERROR(IF(VLOOKUP($I57,Sessions!$A$2:$W$21,20,FALSE)="","",VLOOKUP($I57,Sessions!$A$2:$W$21,20,FALSE)),""))</f>
        <v>1</v>
      </c>
      <c r="L57" s="3"/>
      <c r="M57" s="3"/>
      <c r="N57" s="3"/>
      <c r="O57" s="3"/>
      <c r="P57" s="4"/>
    </row>
    <row r="58" spans="1:16" ht="23.1" customHeight="1">
      <c r="A58" s="3">
        <v>57</v>
      </c>
      <c r="B58" s="5">
        <v>65</v>
      </c>
      <c r="C58" s="4" t="s">
        <v>82</v>
      </c>
      <c r="D58" s="6">
        <v>1.0015000000000001</v>
      </c>
      <c r="E58" s="8">
        <f>IF(OR($I58="",$D58=""),"",IFERROR(IF(VLOOKUP($I58,Sessions!$A$2:$W$21,2,FALSE)="","",VLOOKUP($I58,Sessions!$A$2:$W$21,2,FALSE)),""))</f>
        <v>46268</v>
      </c>
      <c r="F58" s="9">
        <v>0.74930555555555556</v>
      </c>
      <c r="G58" s="3" t="str">
        <f>IF(OR($I58="",$D58=""),"",IFERROR(IF(VLOOKUP($I58,Sessions!$A$2:$W$21,5,FALSE)="","",VLOOKUP($I58,Sessions!$A$2:$W$21,5,FALSE)),""))</f>
        <v>Timmy D. Bell</v>
      </c>
      <c r="H58" s="3" t="s">
        <v>18</v>
      </c>
      <c r="I58" s="4">
        <v>1</v>
      </c>
      <c r="J58" s="7">
        <f>IF(OR($I58="",$D58=""),"",IFERROR(IF(VLOOKUP($I58,Sessions!$A$2:$W$21,13,FALSE)="","",VLOOKUP($I58,Sessions!$A$2:$W$21,13,FALSE)),""))</f>
        <v>1</v>
      </c>
      <c r="K58" s="7">
        <f>IF(OR($I58="",$D58=""),"",IFERROR(IF(VLOOKUP($I58,Sessions!$A$2:$W$21,20,FALSE)="","",VLOOKUP($I58,Sessions!$A$2:$W$21,20,FALSE)),""))</f>
        <v>1</v>
      </c>
      <c r="L58" s="3"/>
      <c r="M58" s="3"/>
      <c r="N58" s="3"/>
      <c r="O58" s="3"/>
      <c r="P58" s="4"/>
    </row>
    <row r="59" spans="1:16" ht="23.1" customHeight="1">
      <c r="A59" s="3">
        <v>58</v>
      </c>
      <c r="B59" s="5">
        <v>172</v>
      </c>
      <c r="C59" s="4" t="s">
        <v>82</v>
      </c>
      <c r="D59" s="6">
        <v>1.0035000000000001</v>
      </c>
      <c r="E59" s="8">
        <f>IF(OR($I59="",$D59=""),"",IFERROR(IF(VLOOKUP($I59,Sessions!$A$2:$W$21,2,FALSE)="","",VLOOKUP($I59,Sessions!$A$2:$W$21,2,FALSE)),""))</f>
        <v>46268</v>
      </c>
      <c r="F59" s="9">
        <v>0.74930555555555556</v>
      </c>
      <c r="G59" s="3" t="str">
        <f>IF(OR($I59="",$D59=""),"",IFERROR(IF(VLOOKUP($I59,Sessions!$A$2:$W$21,5,FALSE)="","",VLOOKUP($I59,Sessions!$A$2:$W$21,5,FALSE)),""))</f>
        <v>Timmy D. Bell</v>
      </c>
      <c r="H59" s="3" t="s">
        <v>18</v>
      </c>
      <c r="I59" s="4">
        <v>1</v>
      </c>
      <c r="J59" s="7">
        <f>IF(OR($I59="",$D59=""),"",IFERROR(IF(VLOOKUP($I59,Sessions!$A$2:$W$21,13,FALSE)="","",VLOOKUP($I59,Sessions!$A$2:$W$21,13,FALSE)),""))</f>
        <v>1</v>
      </c>
      <c r="K59" s="7">
        <f>IF(OR($I59="",$D59=""),"",IFERROR(IF(VLOOKUP($I59,Sessions!$A$2:$W$21,20,FALSE)="","",VLOOKUP($I59,Sessions!$A$2:$W$21,20,FALSE)),""))</f>
        <v>1</v>
      </c>
      <c r="L59" s="3"/>
      <c r="M59" s="3"/>
      <c r="N59" s="3"/>
      <c r="O59" s="3"/>
      <c r="P59" s="4"/>
    </row>
    <row r="60" spans="1:16" ht="23.1" customHeight="1">
      <c r="A60" s="3">
        <v>59</v>
      </c>
      <c r="B60" s="5">
        <v>100</v>
      </c>
      <c r="C60" s="4" t="s">
        <v>82</v>
      </c>
      <c r="D60" s="6">
        <v>1</v>
      </c>
      <c r="E60" s="8">
        <f>IF(OR($I60="",$D60=""),"",IFERROR(IF(VLOOKUP($I60,Sessions!$A$2:$W$21,2,FALSE)="","",VLOOKUP($I60,Sessions!$A$2:$W$21,2,FALSE)),""))</f>
        <v>46268</v>
      </c>
      <c r="F60" s="9">
        <v>0.74930555555555556</v>
      </c>
      <c r="G60" s="3" t="str">
        <f>IF(OR($I60="",$D60=""),"",IFERROR(IF(VLOOKUP($I60,Sessions!$A$2:$W$21,5,FALSE)="","",VLOOKUP($I60,Sessions!$A$2:$W$21,5,FALSE)),""))</f>
        <v>Timmy D. Bell</v>
      </c>
      <c r="H60" s="3" t="s">
        <v>18</v>
      </c>
      <c r="I60" s="4">
        <v>1</v>
      </c>
      <c r="J60" s="7">
        <f>IF(OR($I60="",$D60=""),"",IFERROR(IF(VLOOKUP($I60,Sessions!$A$2:$W$21,13,FALSE)="","",VLOOKUP($I60,Sessions!$A$2:$W$21,13,FALSE)),""))</f>
        <v>1</v>
      </c>
      <c r="K60" s="7">
        <f>IF(OR($I60="",$D60=""),"",IFERROR(IF(VLOOKUP($I60,Sessions!$A$2:$W$21,20,FALSE)="","",VLOOKUP($I60,Sessions!$A$2:$W$21,20,FALSE)),""))</f>
        <v>1</v>
      </c>
      <c r="L60" s="3"/>
      <c r="M60" s="3"/>
      <c r="N60" s="3"/>
      <c r="O60" s="3"/>
      <c r="P60" s="4"/>
    </row>
    <row r="61" spans="1:16" ht="23.1" customHeight="1">
      <c r="A61" s="3">
        <v>60</v>
      </c>
      <c r="B61" s="5">
        <v>232</v>
      </c>
      <c r="C61" s="4" t="s">
        <v>82</v>
      </c>
      <c r="D61" s="6">
        <v>0.99099999999999999</v>
      </c>
      <c r="E61" s="8">
        <f>IF(OR($I61="",$D61=""),"",IFERROR(IF(VLOOKUP($I61,Sessions!$A$2:$W$21,2,FALSE)="","",VLOOKUP($I61,Sessions!$A$2:$W$21,2,FALSE)),""))</f>
        <v>46268</v>
      </c>
      <c r="F61" s="9">
        <v>0.75</v>
      </c>
      <c r="G61" s="3" t="str">
        <f>IF(OR($I61="",$D61=""),"",IFERROR(IF(VLOOKUP($I61,Sessions!$A$2:$W$21,5,FALSE)="","",VLOOKUP($I61,Sessions!$A$2:$W$21,5,FALSE)),""))</f>
        <v>Timmy D. Bell</v>
      </c>
      <c r="H61" s="3" t="s">
        <v>18</v>
      </c>
      <c r="I61" s="4">
        <v>1</v>
      </c>
      <c r="J61" s="7">
        <f>IF(OR($I61="",$D61=""),"",IFERROR(IF(VLOOKUP($I61,Sessions!$A$2:$W$21,13,FALSE)="","",VLOOKUP($I61,Sessions!$A$2:$W$21,13,FALSE)),""))</f>
        <v>1</v>
      </c>
      <c r="K61" s="7">
        <f>IF(OR($I61="",$D61=""),"",IFERROR(IF(VLOOKUP($I61,Sessions!$A$2:$W$21,20,FALSE)="","",VLOOKUP($I61,Sessions!$A$2:$W$21,20,FALSE)),""))</f>
        <v>1</v>
      </c>
      <c r="L61" s="3"/>
      <c r="M61" s="3"/>
      <c r="N61" s="3"/>
      <c r="O61" s="3"/>
      <c r="P61" s="4"/>
    </row>
    <row r="62" spans="1:16" ht="23.1" customHeight="1">
      <c r="A62" s="3">
        <v>61</v>
      </c>
      <c r="B62" s="5">
        <v>127</v>
      </c>
      <c r="C62" s="4" t="s">
        <v>82</v>
      </c>
      <c r="D62" s="6">
        <v>0.99950000000000006</v>
      </c>
      <c r="E62" s="8">
        <f>IF(OR($I62="",$D62=""),"",IFERROR(IF(VLOOKUP($I62,Sessions!$A$2:$W$21,2,FALSE)="","",VLOOKUP($I62,Sessions!$A$2:$W$21,2,FALSE)),""))</f>
        <v>46268</v>
      </c>
      <c r="F62" s="9">
        <v>0.75</v>
      </c>
      <c r="G62" s="3" t="str">
        <f>IF(OR($I62="",$D62=""),"",IFERROR(IF(VLOOKUP($I62,Sessions!$A$2:$W$21,5,FALSE)="","",VLOOKUP($I62,Sessions!$A$2:$W$21,5,FALSE)),""))</f>
        <v>Timmy D. Bell</v>
      </c>
      <c r="H62" s="3" t="s">
        <v>18</v>
      </c>
      <c r="I62" s="4">
        <v>1</v>
      </c>
      <c r="J62" s="7">
        <f>IF(OR($I62="",$D62=""),"",IFERROR(IF(VLOOKUP($I62,Sessions!$A$2:$W$21,13,FALSE)="","",VLOOKUP($I62,Sessions!$A$2:$W$21,13,FALSE)),""))</f>
        <v>1</v>
      </c>
      <c r="K62" s="7">
        <f>IF(OR($I62="",$D62=""),"",IFERROR(IF(VLOOKUP($I62,Sessions!$A$2:$W$21,20,FALSE)="","",VLOOKUP($I62,Sessions!$A$2:$W$21,20,FALSE)),""))</f>
        <v>1</v>
      </c>
      <c r="L62" s="3"/>
      <c r="M62" s="3"/>
      <c r="N62" s="3"/>
      <c r="O62" s="3"/>
      <c r="P62" s="4"/>
    </row>
    <row r="63" spans="1:16" ht="23.1" customHeight="1">
      <c r="A63" s="3">
        <v>62</v>
      </c>
      <c r="B63" s="5">
        <v>233</v>
      </c>
      <c r="C63" s="4" t="s">
        <v>82</v>
      </c>
      <c r="D63" s="6">
        <v>0.99099999999999999</v>
      </c>
      <c r="E63" s="8">
        <f>IF(OR($I63="",$D63=""),"",IFERROR(IF(VLOOKUP($I63,Sessions!$A$2:$W$21,2,FALSE)="","",VLOOKUP($I63,Sessions!$A$2:$W$21,2,FALSE)),""))</f>
        <v>46268</v>
      </c>
      <c r="F63" s="9">
        <v>0.75</v>
      </c>
      <c r="G63" s="3" t="str">
        <f>IF(OR($I63="",$D63=""),"",IFERROR(IF(VLOOKUP($I63,Sessions!$A$2:$W$21,5,FALSE)="","",VLOOKUP($I63,Sessions!$A$2:$W$21,5,FALSE)),""))</f>
        <v>Timmy D. Bell</v>
      </c>
      <c r="H63" s="3" t="s">
        <v>18</v>
      </c>
      <c r="I63" s="4">
        <v>1</v>
      </c>
      <c r="J63" s="7">
        <f>IF(OR($I63="",$D63=""),"",IFERROR(IF(VLOOKUP($I63,Sessions!$A$2:$W$21,13,FALSE)="","",VLOOKUP($I63,Sessions!$A$2:$W$21,13,FALSE)),""))</f>
        <v>1</v>
      </c>
      <c r="K63" s="7">
        <f>IF(OR($I63="",$D63=""),"",IFERROR(IF(VLOOKUP($I63,Sessions!$A$2:$W$21,20,FALSE)="","",VLOOKUP($I63,Sessions!$A$2:$W$21,20,FALSE)),""))</f>
        <v>1</v>
      </c>
      <c r="L63" s="3"/>
      <c r="M63" s="3"/>
      <c r="N63" s="3"/>
      <c r="O63" s="3"/>
      <c r="P63" s="4"/>
    </row>
    <row r="64" spans="1:16" ht="23.1" customHeight="1">
      <c r="A64" s="3">
        <v>63</v>
      </c>
      <c r="B64" s="5">
        <v>226</v>
      </c>
      <c r="C64" s="4" t="s">
        <v>82</v>
      </c>
      <c r="D64" s="6">
        <v>1.0315000000000001</v>
      </c>
      <c r="E64" s="8">
        <f>IF(OR($I64="",$D64=""),"",IFERROR(IF(VLOOKUP($I64,Sessions!$A$2:$W$21,2,FALSE)="","",VLOOKUP($I64,Sessions!$A$2:$W$21,2,FALSE)),""))</f>
        <v>46268</v>
      </c>
      <c r="F64" s="9">
        <v>0.75069444444444444</v>
      </c>
      <c r="G64" s="3" t="str">
        <f>IF(OR($I64="",$D64=""),"",IFERROR(IF(VLOOKUP($I64,Sessions!$A$2:$W$21,5,FALSE)="","",VLOOKUP($I64,Sessions!$A$2:$W$21,5,FALSE)),""))</f>
        <v>Timmy D. Bell</v>
      </c>
      <c r="H64" s="3" t="s">
        <v>18</v>
      </c>
      <c r="I64" s="4">
        <v>1</v>
      </c>
      <c r="J64" s="7">
        <f>IF(OR($I64="",$D64=""),"",IFERROR(IF(VLOOKUP($I64,Sessions!$A$2:$W$21,13,FALSE)="","",VLOOKUP($I64,Sessions!$A$2:$W$21,13,FALSE)),""))</f>
        <v>1</v>
      </c>
      <c r="K64" s="7">
        <f>IF(OR($I64="",$D64=""),"",IFERROR(IF(VLOOKUP($I64,Sessions!$A$2:$W$21,20,FALSE)="","",VLOOKUP($I64,Sessions!$A$2:$W$21,20,FALSE)),""))</f>
        <v>1</v>
      </c>
      <c r="L64" s="3"/>
      <c r="M64" s="3"/>
      <c r="N64" s="3"/>
      <c r="O64" s="3"/>
      <c r="P64" s="4"/>
    </row>
    <row r="65" spans="1:16" ht="23.1" customHeight="1">
      <c r="A65" s="3">
        <v>64</v>
      </c>
      <c r="B65" s="5">
        <v>63</v>
      </c>
      <c r="C65" s="4" t="s">
        <v>82</v>
      </c>
      <c r="D65" s="6">
        <v>0.99950000000000006</v>
      </c>
      <c r="E65" s="8">
        <f>IF(OR($I65="",$D65=""),"",IFERROR(IF(VLOOKUP($I65,Sessions!$A$2:$W$21,2,FALSE)="","",VLOOKUP($I65,Sessions!$A$2:$W$21,2,FALSE)),""))</f>
        <v>46268</v>
      </c>
      <c r="F65" s="9">
        <v>0.75069444444444444</v>
      </c>
      <c r="G65" s="3" t="str">
        <f>IF(OR($I65="",$D65=""),"",IFERROR(IF(VLOOKUP($I65,Sessions!$A$2:$W$21,5,FALSE)="","",VLOOKUP($I65,Sessions!$A$2:$W$21,5,FALSE)),""))</f>
        <v>Timmy D. Bell</v>
      </c>
      <c r="H65" s="3" t="s">
        <v>18</v>
      </c>
      <c r="I65" s="4">
        <v>1</v>
      </c>
      <c r="J65" s="7">
        <f>IF(OR($I65="",$D65=""),"",IFERROR(IF(VLOOKUP($I65,Sessions!$A$2:$W$21,13,FALSE)="","",VLOOKUP($I65,Sessions!$A$2:$W$21,13,FALSE)),""))</f>
        <v>1</v>
      </c>
      <c r="K65" s="7">
        <f>IF(OR($I65="",$D65=""),"",IFERROR(IF(VLOOKUP($I65,Sessions!$A$2:$W$21,20,FALSE)="","",VLOOKUP($I65,Sessions!$A$2:$W$21,20,FALSE)),""))</f>
        <v>1</v>
      </c>
      <c r="L65" s="3"/>
      <c r="M65" s="3"/>
      <c r="N65" s="3"/>
      <c r="O65" s="3"/>
      <c r="P65" s="4"/>
    </row>
    <row r="66" spans="1:16" ht="23.1" customHeight="1">
      <c r="A66" s="3">
        <v>65</v>
      </c>
      <c r="B66" s="5">
        <v>194</v>
      </c>
      <c r="C66" s="4" t="s">
        <v>82</v>
      </c>
      <c r="D66" s="6">
        <v>0.99299999999999999</v>
      </c>
      <c r="E66" s="8">
        <f>IF(OR($I66="",$D66=""),"",IFERROR(IF(VLOOKUP($I66,Sessions!$A$2:$W$21,2,FALSE)="","",VLOOKUP($I66,Sessions!$A$2:$W$21,2,FALSE)),""))</f>
        <v>46268</v>
      </c>
      <c r="F66" s="9">
        <v>0.75069444444444444</v>
      </c>
      <c r="G66" s="3" t="str">
        <f>IF(OR($I66="",$D66=""),"",IFERROR(IF(VLOOKUP($I66,Sessions!$A$2:$W$21,5,FALSE)="","",VLOOKUP($I66,Sessions!$A$2:$W$21,5,FALSE)),""))</f>
        <v>Timmy D. Bell</v>
      </c>
      <c r="H66" s="3" t="s">
        <v>18</v>
      </c>
      <c r="I66" s="4">
        <v>1</v>
      </c>
      <c r="J66" s="7">
        <f>IF(OR($I66="",$D66=""),"",IFERROR(IF(VLOOKUP($I66,Sessions!$A$2:$W$21,13,FALSE)="","",VLOOKUP($I66,Sessions!$A$2:$W$21,13,FALSE)),""))</f>
        <v>1</v>
      </c>
      <c r="K66" s="7">
        <f>IF(OR($I66="",$D66=""),"",IFERROR(IF(VLOOKUP($I66,Sessions!$A$2:$W$21,20,FALSE)="","",VLOOKUP($I66,Sessions!$A$2:$W$21,20,FALSE)),""))</f>
        <v>1</v>
      </c>
      <c r="L66" s="3"/>
      <c r="M66" s="3"/>
      <c r="N66" s="3"/>
      <c r="O66" s="3"/>
      <c r="P66" s="4"/>
    </row>
    <row r="67" spans="1:16" ht="23.1" customHeight="1">
      <c r="A67" s="3">
        <v>66</v>
      </c>
      <c r="B67" s="5">
        <v>60</v>
      </c>
      <c r="C67" s="4" t="s">
        <v>82</v>
      </c>
      <c r="D67" s="6">
        <v>1.0029999999999999</v>
      </c>
      <c r="E67" s="8">
        <f>IF(OR($I67="",$D67=""),"",IFERROR(IF(VLOOKUP($I67,Sessions!$A$2:$W$21,2,FALSE)="","",VLOOKUP($I67,Sessions!$A$2:$W$21,2,FALSE)),""))</f>
        <v>46268</v>
      </c>
      <c r="F67" s="9">
        <v>0.75138888888888888</v>
      </c>
      <c r="G67" s="3" t="str">
        <f>IF(OR($I67="",$D67=""),"",IFERROR(IF(VLOOKUP($I67,Sessions!$A$2:$W$21,5,FALSE)="","",VLOOKUP($I67,Sessions!$A$2:$W$21,5,FALSE)),""))</f>
        <v>Timmy D. Bell</v>
      </c>
      <c r="H67" s="3" t="s">
        <v>18</v>
      </c>
      <c r="I67" s="4">
        <v>1</v>
      </c>
      <c r="J67" s="7">
        <f>IF(OR($I67="",$D67=""),"",IFERROR(IF(VLOOKUP($I67,Sessions!$A$2:$W$21,13,FALSE)="","",VLOOKUP($I67,Sessions!$A$2:$W$21,13,FALSE)),""))</f>
        <v>1</v>
      </c>
      <c r="K67" s="7">
        <f>IF(OR($I67="",$D67=""),"",IFERROR(IF(VLOOKUP($I67,Sessions!$A$2:$W$21,20,FALSE)="","",VLOOKUP($I67,Sessions!$A$2:$W$21,20,FALSE)),""))</f>
        <v>1</v>
      </c>
      <c r="L67" s="3"/>
      <c r="M67" s="3"/>
      <c r="N67" s="3"/>
      <c r="O67" s="3"/>
      <c r="P67" s="4"/>
    </row>
    <row r="68" spans="1:16" ht="23.1" customHeight="1">
      <c r="A68" s="3">
        <v>67</v>
      </c>
      <c r="B68" s="5">
        <v>15</v>
      </c>
      <c r="C68" s="4" t="s">
        <v>82</v>
      </c>
      <c r="D68" s="6">
        <v>1.0085</v>
      </c>
      <c r="E68" s="8">
        <f>IF(OR($I68="",$D68=""),"",IFERROR(IF(VLOOKUP($I68,Sessions!$A$2:$W$21,2,FALSE)="","",VLOOKUP($I68,Sessions!$A$2:$W$21,2,FALSE)),""))</f>
        <v>46268</v>
      </c>
      <c r="F68" s="9">
        <v>0.75138888888888888</v>
      </c>
      <c r="G68" s="3" t="str">
        <f>IF(OR($I68="",$D68=""),"",IFERROR(IF(VLOOKUP($I68,Sessions!$A$2:$W$21,5,FALSE)="","",VLOOKUP($I68,Sessions!$A$2:$W$21,5,FALSE)),""))</f>
        <v>Timmy D. Bell</v>
      </c>
      <c r="H68" s="3" t="s">
        <v>18</v>
      </c>
      <c r="I68" s="4">
        <v>1</v>
      </c>
      <c r="J68" s="7">
        <f>IF(OR($I68="",$D68=""),"",IFERROR(IF(VLOOKUP($I68,Sessions!$A$2:$W$21,13,FALSE)="","",VLOOKUP($I68,Sessions!$A$2:$W$21,13,FALSE)),""))</f>
        <v>1</v>
      </c>
      <c r="K68" s="7">
        <f>IF(OR($I68="",$D68=""),"",IFERROR(IF(VLOOKUP($I68,Sessions!$A$2:$W$21,20,FALSE)="","",VLOOKUP($I68,Sessions!$A$2:$W$21,20,FALSE)),""))</f>
        <v>1</v>
      </c>
      <c r="L68" s="3"/>
      <c r="M68" s="3"/>
      <c r="N68" s="3"/>
      <c r="O68" s="3"/>
      <c r="P68" s="4"/>
    </row>
    <row r="69" spans="1:16" ht="23.1" customHeight="1">
      <c r="A69" s="3">
        <v>68</v>
      </c>
      <c r="B69" s="5">
        <v>4</v>
      </c>
      <c r="C69" s="4" t="s">
        <v>82</v>
      </c>
      <c r="D69" s="6">
        <v>1.0029999999999999</v>
      </c>
      <c r="E69" s="8">
        <f>IF(OR($I69="",$D69=""),"",IFERROR(IF(VLOOKUP($I69,Sessions!$A$2:$W$21,2,FALSE)="","",VLOOKUP($I69,Sessions!$A$2:$W$21,2,FALSE)),""))</f>
        <v>46268</v>
      </c>
      <c r="F69" s="9">
        <v>0.75138888888888888</v>
      </c>
      <c r="G69" s="3" t="str">
        <f>IF(OR($I69="",$D69=""),"",IFERROR(IF(VLOOKUP($I69,Sessions!$A$2:$W$21,5,FALSE)="","",VLOOKUP($I69,Sessions!$A$2:$W$21,5,FALSE)),""))</f>
        <v>Timmy D. Bell</v>
      </c>
      <c r="H69" s="3" t="s">
        <v>18</v>
      </c>
      <c r="I69" s="4">
        <v>1</v>
      </c>
      <c r="J69" s="7">
        <f>IF(OR($I69="",$D69=""),"",IFERROR(IF(VLOOKUP($I69,Sessions!$A$2:$W$21,13,FALSE)="","",VLOOKUP($I69,Sessions!$A$2:$W$21,13,FALSE)),""))</f>
        <v>1</v>
      </c>
      <c r="K69" s="7">
        <f>IF(OR($I69="",$D69=""),"",IFERROR(IF(VLOOKUP($I69,Sessions!$A$2:$W$21,20,FALSE)="","",VLOOKUP($I69,Sessions!$A$2:$W$21,20,FALSE)),""))</f>
        <v>1</v>
      </c>
      <c r="L69" s="3"/>
      <c r="M69" s="3"/>
      <c r="N69" s="3"/>
      <c r="O69" s="3"/>
      <c r="P69" s="4"/>
    </row>
    <row r="70" spans="1:16" ht="23.1" customHeight="1">
      <c r="A70" s="3">
        <v>69</v>
      </c>
      <c r="B70" s="5">
        <v>180</v>
      </c>
      <c r="C70" s="4" t="s">
        <v>82</v>
      </c>
      <c r="D70" s="6">
        <v>0.99950000000000006</v>
      </c>
      <c r="E70" s="8">
        <f>IF(OR($I70="",$D70=""),"",IFERROR(IF(VLOOKUP($I70,Sessions!$A$2:$W$21,2,FALSE)="","",VLOOKUP($I70,Sessions!$A$2:$W$21,2,FALSE)),""))</f>
        <v>46268</v>
      </c>
      <c r="F70" s="9">
        <v>0.75208333333333333</v>
      </c>
      <c r="G70" s="3" t="str">
        <f>IF(OR($I70="",$D70=""),"",IFERROR(IF(VLOOKUP($I70,Sessions!$A$2:$W$21,5,FALSE)="","",VLOOKUP($I70,Sessions!$A$2:$W$21,5,FALSE)),""))</f>
        <v>Timmy D. Bell</v>
      </c>
      <c r="H70" s="3" t="s">
        <v>18</v>
      </c>
      <c r="I70" s="4">
        <v>1</v>
      </c>
      <c r="J70" s="7">
        <f>IF(OR($I70="",$D70=""),"",IFERROR(IF(VLOOKUP($I70,Sessions!$A$2:$W$21,13,FALSE)="","",VLOOKUP($I70,Sessions!$A$2:$W$21,13,FALSE)),""))</f>
        <v>1</v>
      </c>
      <c r="K70" s="7">
        <f>IF(OR($I70="",$D70=""),"",IFERROR(IF(VLOOKUP($I70,Sessions!$A$2:$W$21,20,FALSE)="","",VLOOKUP($I70,Sessions!$A$2:$W$21,20,FALSE)),""))</f>
        <v>1</v>
      </c>
      <c r="L70" s="3"/>
      <c r="M70" s="3"/>
      <c r="N70" s="3"/>
      <c r="O70" s="3"/>
      <c r="P70" s="4"/>
    </row>
    <row r="71" spans="1:16" ht="23.1" customHeight="1">
      <c r="A71" s="3">
        <v>70</v>
      </c>
      <c r="B71" s="5">
        <v>82</v>
      </c>
      <c r="C71" s="4" t="s">
        <v>82</v>
      </c>
      <c r="D71" s="6">
        <v>1.0029999999999999</v>
      </c>
      <c r="E71" s="8">
        <f>IF(OR($I71="",$D71=""),"",IFERROR(IF(VLOOKUP($I71,Sessions!$A$2:$W$21,2,FALSE)="","",VLOOKUP($I71,Sessions!$A$2:$W$21,2,FALSE)),""))</f>
        <v>46268</v>
      </c>
      <c r="F71" s="9">
        <v>0.75208333333333333</v>
      </c>
      <c r="G71" s="3" t="str">
        <f>IF(OR($I71="",$D71=""),"",IFERROR(IF(VLOOKUP($I71,Sessions!$A$2:$W$21,5,FALSE)="","",VLOOKUP($I71,Sessions!$A$2:$W$21,5,FALSE)),""))</f>
        <v>Timmy D. Bell</v>
      </c>
      <c r="H71" s="3" t="s">
        <v>18</v>
      </c>
      <c r="I71" s="4">
        <v>1</v>
      </c>
      <c r="J71" s="7">
        <f>IF(OR($I71="",$D71=""),"",IFERROR(IF(VLOOKUP($I71,Sessions!$A$2:$W$21,13,FALSE)="","",VLOOKUP($I71,Sessions!$A$2:$W$21,13,FALSE)),""))</f>
        <v>1</v>
      </c>
      <c r="K71" s="7">
        <f>IF(OR($I71="",$D71=""),"",IFERROR(IF(VLOOKUP($I71,Sessions!$A$2:$W$21,20,FALSE)="","",VLOOKUP($I71,Sessions!$A$2:$W$21,20,FALSE)),""))</f>
        <v>1</v>
      </c>
      <c r="L71" s="3"/>
      <c r="M71" s="3"/>
      <c r="N71" s="3"/>
      <c r="O71" s="3"/>
      <c r="P71" s="4"/>
    </row>
    <row r="72" spans="1:16" ht="23.1" customHeight="1">
      <c r="A72" s="3">
        <v>71</v>
      </c>
      <c r="B72" s="5">
        <v>24</v>
      </c>
      <c r="C72" s="4" t="s">
        <v>82</v>
      </c>
      <c r="D72" s="6">
        <v>0.999</v>
      </c>
      <c r="E72" s="8">
        <f>IF(OR($I72="",$D72=""),"",IFERROR(IF(VLOOKUP($I72,Sessions!$A$2:$W$21,2,FALSE)="","",VLOOKUP($I72,Sessions!$A$2:$W$21,2,FALSE)),""))</f>
        <v>46268</v>
      </c>
      <c r="F72" s="9">
        <v>0.75208333333333333</v>
      </c>
      <c r="G72" s="3" t="str">
        <f>IF(OR($I72="",$D72=""),"",IFERROR(IF(VLOOKUP($I72,Sessions!$A$2:$W$21,5,FALSE)="","",VLOOKUP($I72,Sessions!$A$2:$W$21,5,FALSE)),""))</f>
        <v>Timmy D. Bell</v>
      </c>
      <c r="H72" s="3" t="s">
        <v>18</v>
      </c>
      <c r="I72" s="4">
        <v>1</v>
      </c>
      <c r="J72" s="7">
        <f>IF(OR($I72="",$D72=""),"",IFERROR(IF(VLOOKUP($I72,Sessions!$A$2:$W$21,13,FALSE)="","",VLOOKUP($I72,Sessions!$A$2:$W$21,13,FALSE)),""))</f>
        <v>1</v>
      </c>
      <c r="K72" s="7">
        <f>IF(OR($I72="",$D72=""),"",IFERROR(IF(VLOOKUP($I72,Sessions!$A$2:$W$21,20,FALSE)="","",VLOOKUP($I72,Sessions!$A$2:$W$21,20,FALSE)),""))</f>
        <v>1</v>
      </c>
      <c r="L72" s="3"/>
      <c r="M72" s="3"/>
      <c r="N72" s="3"/>
      <c r="O72" s="3"/>
      <c r="P72" s="4"/>
    </row>
    <row r="73" spans="1:16" ht="23.1" customHeight="1">
      <c r="A73" s="3">
        <v>72</v>
      </c>
      <c r="B73" s="5">
        <v>27</v>
      </c>
      <c r="C73" s="4" t="s">
        <v>82</v>
      </c>
      <c r="D73" s="6">
        <v>1.0035000000000001</v>
      </c>
      <c r="E73" s="8">
        <f>IF(OR($I73="",$D73=""),"",IFERROR(IF(VLOOKUP($I73,Sessions!$A$2:$W$21,2,FALSE)="","",VLOOKUP($I73,Sessions!$A$2:$W$21,2,FALSE)),""))</f>
        <v>46268</v>
      </c>
      <c r="F73" s="9">
        <v>0.75277777777777777</v>
      </c>
      <c r="G73" s="3" t="str">
        <f>IF(OR($I73="",$D73=""),"",IFERROR(IF(VLOOKUP($I73,Sessions!$A$2:$W$21,5,FALSE)="","",VLOOKUP($I73,Sessions!$A$2:$W$21,5,FALSE)),""))</f>
        <v>Timmy D. Bell</v>
      </c>
      <c r="H73" s="3" t="s">
        <v>18</v>
      </c>
      <c r="I73" s="4">
        <v>1</v>
      </c>
      <c r="J73" s="7">
        <f>IF(OR($I73="",$D73=""),"",IFERROR(IF(VLOOKUP($I73,Sessions!$A$2:$W$21,13,FALSE)="","",VLOOKUP($I73,Sessions!$A$2:$W$21,13,FALSE)),""))</f>
        <v>1</v>
      </c>
      <c r="K73" s="7">
        <f>IF(OR($I73="",$D73=""),"",IFERROR(IF(VLOOKUP($I73,Sessions!$A$2:$W$21,20,FALSE)="","",VLOOKUP($I73,Sessions!$A$2:$W$21,20,FALSE)),""))</f>
        <v>1</v>
      </c>
      <c r="L73" s="3"/>
      <c r="M73" s="3"/>
      <c r="N73" s="3"/>
      <c r="O73" s="3"/>
      <c r="P73" s="4"/>
    </row>
    <row r="74" spans="1:16" ht="23.1" customHeight="1">
      <c r="A74" s="3">
        <v>73</v>
      </c>
      <c r="B74" s="5">
        <v>114</v>
      </c>
      <c r="C74" s="4" t="s">
        <v>82</v>
      </c>
      <c r="D74" s="6">
        <v>1.004</v>
      </c>
      <c r="E74" s="8">
        <f>IF(OR($I74="",$D74=""),"",IFERROR(IF(VLOOKUP($I74,Sessions!$A$2:$W$21,2,FALSE)="","",VLOOKUP($I74,Sessions!$A$2:$W$21,2,FALSE)),""))</f>
        <v>46268</v>
      </c>
      <c r="F74" s="9">
        <v>0.75277777777777777</v>
      </c>
      <c r="G74" s="3" t="str">
        <f>IF(OR($I74="",$D74=""),"",IFERROR(IF(VLOOKUP($I74,Sessions!$A$2:$W$21,5,FALSE)="","",VLOOKUP($I74,Sessions!$A$2:$W$21,5,FALSE)),""))</f>
        <v>Timmy D. Bell</v>
      </c>
      <c r="H74" s="3" t="s">
        <v>18</v>
      </c>
      <c r="I74" s="4">
        <v>1</v>
      </c>
      <c r="J74" s="7">
        <f>IF(OR($I74="",$D74=""),"",IFERROR(IF(VLOOKUP($I74,Sessions!$A$2:$W$21,13,FALSE)="","",VLOOKUP($I74,Sessions!$A$2:$W$21,13,FALSE)),""))</f>
        <v>1</v>
      </c>
      <c r="K74" s="7">
        <f>IF(OR($I74="",$D74=""),"",IFERROR(IF(VLOOKUP($I74,Sessions!$A$2:$W$21,20,FALSE)="","",VLOOKUP($I74,Sessions!$A$2:$W$21,20,FALSE)),""))</f>
        <v>1</v>
      </c>
      <c r="L74" s="3"/>
      <c r="M74" s="3"/>
      <c r="N74" s="3"/>
      <c r="O74" s="3"/>
      <c r="P74" s="4"/>
    </row>
    <row r="75" spans="1:16" ht="23.1" customHeight="1">
      <c r="A75" s="3">
        <v>74</v>
      </c>
      <c r="B75" s="5">
        <v>128</v>
      </c>
      <c r="C75" s="4" t="s">
        <v>82</v>
      </c>
      <c r="D75" s="6">
        <v>1</v>
      </c>
      <c r="E75" s="8">
        <f>IF(OR($I75="",$D75=""),"",IFERROR(IF(VLOOKUP($I75,Sessions!$A$2:$W$21,2,FALSE)="","",VLOOKUP($I75,Sessions!$A$2:$W$21,2,FALSE)),""))</f>
        <v>46268</v>
      </c>
      <c r="F75" s="9">
        <v>0.75277777777777777</v>
      </c>
      <c r="G75" s="3" t="str">
        <f>IF(OR($I75="",$D75=""),"",IFERROR(IF(VLOOKUP($I75,Sessions!$A$2:$W$21,5,FALSE)="","",VLOOKUP($I75,Sessions!$A$2:$W$21,5,FALSE)),""))</f>
        <v>Timmy D. Bell</v>
      </c>
      <c r="H75" s="3" t="s">
        <v>18</v>
      </c>
      <c r="I75" s="4">
        <v>1</v>
      </c>
      <c r="J75" s="7">
        <f>IF(OR($I75="",$D75=""),"",IFERROR(IF(VLOOKUP($I75,Sessions!$A$2:$W$21,13,FALSE)="","",VLOOKUP($I75,Sessions!$A$2:$W$21,13,FALSE)),""))</f>
        <v>1</v>
      </c>
      <c r="K75" s="7">
        <f>IF(OR($I75="",$D75=""),"",IFERROR(IF(VLOOKUP($I75,Sessions!$A$2:$W$21,20,FALSE)="","",VLOOKUP($I75,Sessions!$A$2:$W$21,20,FALSE)),""))</f>
        <v>1</v>
      </c>
      <c r="L75" s="3"/>
      <c r="M75" s="3"/>
      <c r="N75" s="3"/>
      <c r="O75" s="3"/>
      <c r="P75" s="4"/>
    </row>
    <row r="76" spans="1:16" ht="23.1" customHeight="1">
      <c r="A76" s="3">
        <v>75</v>
      </c>
      <c r="B76" s="5">
        <v>215</v>
      </c>
      <c r="C76" s="4" t="s">
        <v>82</v>
      </c>
      <c r="D76" s="6">
        <v>0.97950000000000004</v>
      </c>
      <c r="E76" s="8">
        <f>IF(OR($I76="",$D76=""),"",IFERROR(IF(VLOOKUP($I76,Sessions!$A$2:$W$21,2,FALSE)="","",VLOOKUP($I76,Sessions!$A$2:$W$21,2,FALSE)),""))</f>
        <v>46268</v>
      </c>
      <c r="F76" s="9">
        <v>0.75277777777777777</v>
      </c>
      <c r="G76" s="3" t="str">
        <f>IF(OR($I76="",$D76=""),"",IFERROR(IF(VLOOKUP($I76,Sessions!$A$2:$W$21,5,FALSE)="","",VLOOKUP($I76,Sessions!$A$2:$W$21,5,FALSE)),""))</f>
        <v>Timmy D. Bell</v>
      </c>
      <c r="H76" s="3" t="s">
        <v>18</v>
      </c>
      <c r="I76" s="4">
        <v>1</v>
      </c>
      <c r="J76" s="7">
        <f>IF(OR($I76="",$D76=""),"",IFERROR(IF(VLOOKUP($I76,Sessions!$A$2:$W$21,13,FALSE)="","",VLOOKUP($I76,Sessions!$A$2:$W$21,13,FALSE)),""))</f>
        <v>1</v>
      </c>
      <c r="K76" s="7">
        <f>IF(OR($I76="",$D76=""),"",IFERROR(IF(VLOOKUP($I76,Sessions!$A$2:$W$21,20,FALSE)="","",VLOOKUP($I76,Sessions!$A$2:$W$21,20,FALSE)),""))</f>
        <v>1</v>
      </c>
      <c r="L76" s="3"/>
      <c r="M76" s="3"/>
      <c r="N76" s="3"/>
      <c r="O76" s="3"/>
      <c r="P76" s="4"/>
    </row>
    <row r="77" spans="1:16" ht="23.1" customHeight="1">
      <c r="A77" s="3">
        <v>76</v>
      </c>
      <c r="B77" s="5">
        <v>95</v>
      </c>
      <c r="C77" s="4" t="s">
        <v>82</v>
      </c>
      <c r="D77" s="6">
        <v>1.002</v>
      </c>
      <c r="E77" s="8">
        <f>IF(OR($I77="",$D77=""),"",IFERROR(IF(VLOOKUP($I77,Sessions!$A$2:$W$21,2,FALSE)="","",VLOOKUP($I77,Sessions!$A$2:$W$21,2,FALSE)),""))</f>
        <v>46268</v>
      </c>
      <c r="F77" s="9">
        <v>0.75347222222222221</v>
      </c>
      <c r="G77" s="3" t="str">
        <f>IF(OR($I77="",$D77=""),"",IFERROR(IF(VLOOKUP($I77,Sessions!$A$2:$W$21,5,FALSE)="","",VLOOKUP($I77,Sessions!$A$2:$W$21,5,FALSE)),""))</f>
        <v>Timmy D. Bell</v>
      </c>
      <c r="H77" s="3" t="s">
        <v>18</v>
      </c>
      <c r="I77" s="4">
        <v>1</v>
      </c>
      <c r="J77" s="7">
        <f>IF(OR($I77="",$D77=""),"",IFERROR(IF(VLOOKUP($I77,Sessions!$A$2:$W$21,13,FALSE)="","",VLOOKUP($I77,Sessions!$A$2:$W$21,13,FALSE)),""))</f>
        <v>1</v>
      </c>
      <c r="K77" s="7">
        <f>IF(OR($I77="",$D77=""),"",IFERROR(IF(VLOOKUP($I77,Sessions!$A$2:$W$21,20,FALSE)="","",VLOOKUP($I77,Sessions!$A$2:$W$21,20,FALSE)),""))</f>
        <v>1</v>
      </c>
      <c r="L77" s="3"/>
      <c r="M77" s="3"/>
      <c r="N77" s="3"/>
      <c r="O77" s="3"/>
      <c r="P77" s="4"/>
    </row>
    <row r="78" spans="1:16" ht="23.1" customHeight="1">
      <c r="A78" s="3">
        <v>77</v>
      </c>
      <c r="B78" s="5">
        <v>89</v>
      </c>
      <c r="C78" s="4" t="s">
        <v>82</v>
      </c>
      <c r="D78" s="6">
        <v>0.999</v>
      </c>
      <c r="E78" s="8">
        <f>IF(OR($I78="",$D78=""),"",IFERROR(IF(VLOOKUP($I78,Sessions!$A$2:$W$21,2,FALSE)="","",VLOOKUP($I78,Sessions!$A$2:$W$21,2,FALSE)),""))</f>
        <v>46268</v>
      </c>
      <c r="F78" s="9">
        <v>0.75347222222222221</v>
      </c>
      <c r="G78" s="3" t="str">
        <f>IF(OR($I78="",$D78=""),"",IFERROR(IF(VLOOKUP($I78,Sessions!$A$2:$W$21,5,FALSE)="","",VLOOKUP($I78,Sessions!$A$2:$W$21,5,FALSE)),""))</f>
        <v>Timmy D. Bell</v>
      </c>
      <c r="H78" s="3" t="s">
        <v>18</v>
      </c>
      <c r="I78" s="4">
        <v>1</v>
      </c>
      <c r="J78" s="7">
        <f>IF(OR($I78="",$D78=""),"",IFERROR(IF(VLOOKUP($I78,Sessions!$A$2:$W$21,13,FALSE)="","",VLOOKUP($I78,Sessions!$A$2:$W$21,13,FALSE)),""))</f>
        <v>1</v>
      </c>
      <c r="K78" s="7">
        <f>IF(OR($I78="",$D78=""),"",IFERROR(IF(VLOOKUP($I78,Sessions!$A$2:$W$21,20,FALSE)="","",VLOOKUP($I78,Sessions!$A$2:$W$21,20,FALSE)),""))</f>
        <v>1</v>
      </c>
      <c r="L78" s="3"/>
      <c r="M78" s="3"/>
      <c r="N78" s="3"/>
      <c r="O78" s="3"/>
      <c r="P78" s="4"/>
    </row>
    <row r="79" spans="1:16" ht="23.1" customHeight="1">
      <c r="A79" s="3">
        <v>78</v>
      </c>
      <c r="B79" s="5">
        <v>5</v>
      </c>
      <c r="C79" s="4" t="s">
        <v>82</v>
      </c>
      <c r="D79" s="6">
        <v>0.996</v>
      </c>
      <c r="E79" s="8">
        <f>IF(OR($I79="",$D79=""),"",IFERROR(IF(VLOOKUP($I79,Sessions!$A$2:$W$21,2,FALSE)="","",VLOOKUP($I79,Sessions!$A$2:$W$21,2,FALSE)),""))</f>
        <v>46268</v>
      </c>
      <c r="F79" s="9">
        <v>0.75347222222222221</v>
      </c>
      <c r="G79" s="3" t="str">
        <f>IF(OR($I79="",$D79=""),"",IFERROR(IF(VLOOKUP($I79,Sessions!$A$2:$W$21,5,FALSE)="","",VLOOKUP($I79,Sessions!$A$2:$W$21,5,FALSE)),""))</f>
        <v>Timmy D. Bell</v>
      </c>
      <c r="H79" s="3" t="s">
        <v>18</v>
      </c>
      <c r="I79" s="4">
        <v>1</v>
      </c>
      <c r="J79" s="7">
        <f>IF(OR($I79="",$D79=""),"",IFERROR(IF(VLOOKUP($I79,Sessions!$A$2:$W$21,13,FALSE)="","",VLOOKUP($I79,Sessions!$A$2:$W$21,13,FALSE)),""))</f>
        <v>1</v>
      </c>
      <c r="K79" s="7">
        <f>IF(OR($I79="",$D79=""),"",IFERROR(IF(VLOOKUP($I79,Sessions!$A$2:$W$21,20,FALSE)="","",VLOOKUP($I79,Sessions!$A$2:$W$21,20,FALSE)),""))</f>
        <v>1</v>
      </c>
      <c r="L79" s="3"/>
      <c r="M79" s="3"/>
      <c r="N79" s="3"/>
      <c r="O79" s="3"/>
      <c r="P79" s="4"/>
    </row>
    <row r="80" spans="1:16" ht="23.1" customHeight="1">
      <c r="A80" s="3">
        <v>79</v>
      </c>
      <c r="B80" s="5">
        <v>19</v>
      </c>
      <c r="C80" s="4" t="s">
        <v>82</v>
      </c>
      <c r="D80" s="6">
        <v>0.999</v>
      </c>
      <c r="E80" s="8">
        <f>IF(OR($I80="",$D80=""),"",IFERROR(IF(VLOOKUP($I80,Sessions!$A$2:$W$21,2,FALSE)="","",VLOOKUP($I80,Sessions!$A$2:$W$21,2,FALSE)),""))</f>
        <v>46268</v>
      </c>
      <c r="F80" s="9">
        <v>0.75416666666666665</v>
      </c>
      <c r="G80" s="3" t="str">
        <f>IF(OR($I80="",$D80=""),"",IFERROR(IF(VLOOKUP($I80,Sessions!$A$2:$W$21,5,FALSE)="","",VLOOKUP($I80,Sessions!$A$2:$W$21,5,FALSE)),""))</f>
        <v>Timmy D. Bell</v>
      </c>
      <c r="H80" s="3" t="s">
        <v>18</v>
      </c>
      <c r="I80" s="4">
        <v>1</v>
      </c>
      <c r="J80" s="7">
        <f>IF(OR($I80="",$D80=""),"",IFERROR(IF(VLOOKUP($I80,Sessions!$A$2:$W$21,13,FALSE)="","",VLOOKUP($I80,Sessions!$A$2:$W$21,13,FALSE)),""))</f>
        <v>1</v>
      </c>
      <c r="K80" s="7">
        <f>IF(OR($I80="",$D80=""),"",IFERROR(IF(VLOOKUP($I80,Sessions!$A$2:$W$21,20,FALSE)="","",VLOOKUP($I80,Sessions!$A$2:$W$21,20,FALSE)),""))</f>
        <v>1</v>
      </c>
      <c r="L80" s="3"/>
      <c r="M80" s="3"/>
      <c r="N80" s="3"/>
      <c r="O80" s="3"/>
      <c r="P80" s="4"/>
    </row>
    <row r="81" spans="1:16" ht="23.1" customHeight="1">
      <c r="A81" s="3">
        <v>80</v>
      </c>
      <c r="B81" s="5">
        <v>113</v>
      </c>
      <c r="C81" s="4" t="s">
        <v>82</v>
      </c>
      <c r="D81" s="6">
        <v>1.024</v>
      </c>
      <c r="E81" s="8">
        <f>IF(OR($I81="",$D81=""),"",IFERROR(IF(VLOOKUP($I81,Sessions!$A$2:$W$21,2,FALSE)="","",VLOOKUP($I81,Sessions!$A$2:$W$21,2,FALSE)),""))</f>
        <v>46268</v>
      </c>
      <c r="F81" s="9">
        <v>0.75416666666666665</v>
      </c>
      <c r="G81" s="3" t="str">
        <f>IF(OR($I81="",$D81=""),"",IFERROR(IF(VLOOKUP($I81,Sessions!$A$2:$W$21,5,FALSE)="","",VLOOKUP($I81,Sessions!$A$2:$W$21,5,FALSE)),""))</f>
        <v>Timmy D. Bell</v>
      </c>
      <c r="H81" s="3" t="s">
        <v>18</v>
      </c>
      <c r="I81" s="4">
        <v>1</v>
      </c>
      <c r="J81" s="7">
        <f>IF(OR($I81="",$D81=""),"",IFERROR(IF(VLOOKUP($I81,Sessions!$A$2:$W$21,13,FALSE)="","",VLOOKUP($I81,Sessions!$A$2:$W$21,13,FALSE)),""))</f>
        <v>1</v>
      </c>
      <c r="K81" s="7">
        <f>IF(OR($I81="",$D81=""),"",IFERROR(IF(VLOOKUP($I81,Sessions!$A$2:$W$21,20,FALSE)="","",VLOOKUP($I81,Sessions!$A$2:$W$21,20,FALSE)),""))</f>
        <v>1</v>
      </c>
      <c r="L81" s="3"/>
      <c r="M81" s="3"/>
      <c r="N81" s="3"/>
      <c r="O81" s="3"/>
      <c r="P81" s="4"/>
    </row>
    <row r="82" spans="1:16" ht="23.1" customHeight="1">
      <c r="A82" s="3">
        <v>81</v>
      </c>
      <c r="B82" s="5">
        <v>41</v>
      </c>
      <c r="C82" s="4" t="s">
        <v>82</v>
      </c>
      <c r="D82" s="6">
        <v>1.0029999999999999</v>
      </c>
      <c r="E82" s="8">
        <f>IF(OR($I82="",$D82=""),"",IFERROR(IF(VLOOKUP($I82,Sessions!$A$2:$W$21,2,FALSE)="","",VLOOKUP($I82,Sessions!$A$2:$W$21,2,FALSE)),""))</f>
        <v>46268</v>
      </c>
      <c r="F82" s="9">
        <v>0.75416666666666665</v>
      </c>
      <c r="G82" s="3" t="str">
        <f>IF(OR($I82="",$D82=""),"",IFERROR(IF(VLOOKUP($I82,Sessions!$A$2:$W$21,5,FALSE)="","",VLOOKUP($I82,Sessions!$A$2:$W$21,5,FALSE)),""))</f>
        <v>Timmy D. Bell</v>
      </c>
      <c r="H82" s="3" t="s">
        <v>18</v>
      </c>
      <c r="I82" s="4">
        <v>1</v>
      </c>
      <c r="J82" s="7">
        <f>IF(OR($I82="",$D82=""),"",IFERROR(IF(VLOOKUP($I82,Sessions!$A$2:$W$21,13,FALSE)="","",VLOOKUP($I82,Sessions!$A$2:$W$21,13,FALSE)),""))</f>
        <v>1</v>
      </c>
      <c r="K82" s="7">
        <f>IF(OR($I82="",$D82=""),"",IFERROR(IF(VLOOKUP($I82,Sessions!$A$2:$W$21,20,FALSE)="","",VLOOKUP($I82,Sessions!$A$2:$W$21,20,FALSE)),""))</f>
        <v>1</v>
      </c>
      <c r="L82" s="3"/>
      <c r="M82" s="3"/>
      <c r="N82" s="3"/>
      <c r="O82" s="3"/>
      <c r="P82" s="4"/>
    </row>
    <row r="83" spans="1:16" ht="23.1" customHeight="1">
      <c r="A83" s="3">
        <v>82</v>
      </c>
      <c r="B83" s="5">
        <v>133</v>
      </c>
      <c r="C83" s="4" t="s">
        <v>82</v>
      </c>
      <c r="D83" s="6">
        <v>0.99099999999999999</v>
      </c>
      <c r="E83" s="8">
        <f>IF(OR($I83="",$D83=""),"",IFERROR(IF(VLOOKUP($I83,Sessions!$A$2:$W$21,2,FALSE)="","",VLOOKUP($I83,Sessions!$A$2:$W$21,2,FALSE)),""))</f>
        <v>46268</v>
      </c>
      <c r="F83" s="9">
        <v>0.75486111111111109</v>
      </c>
      <c r="G83" s="3" t="str">
        <f>IF(OR($I83="",$D83=""),"",IFERROR(IF(VLOOKUP($I83,Sessions!$A$2:$W$21,5,FALSE)="","",VLOOKUP($I83,Sessions!$A$2:$W$21,5,FALSE)),""))</f>
        <v>Timmy D. Bell</v>
      </c>
      <c r="H83" s="3" t="s">
        <v>18</v>
      </c>
      <c r="I83" s="4">
        <v>1</v>
      </c>
      <c r="J83" s="7">
        <f>IF(OR($I83="",$D83=""),"",IFERROR(IF(VLOOKUP($I83,Sessions!$A$2:$W$21,13,FALSE)="","",VLOOKUP($I83,Sessions!$A$2:$W$21,13,FALSE)),""))</f>
        <v>1</v>
      </c>
      <c r="K83" s="7">
        <f>IF(OR($I83="",$D83=""),"",IFERROR(IF(VLOOKUP($I83,Sessions!$A$2:$W$21,20,FALSE)="","",VLOOKUP($I83,Sessions!$A$2:$W$21,20,FALSE)),""))</f>
        <v>1</v>
      </c>
      <c r="L83" s="3"/>
      <c r="M83" s="3"/>
      <c r="N83" s="3"/>
      <c r="O83" s="3"/>
      <c r="P83" s="4"/>
    </row>
    <row r="84" spans="1:16" ht="23.1" customHeight="1">
      <c r="A84" s="3">
        <v>83</v>
      </c>
      <c r="B84" s="5">
        <v>66</v>
      </c>
      <c r="C84" s="4" t="s">
        <v>82</v>
      </c>
      <c r="D84" s="6">
        <v>1.022</v>
      </c>
      <c r="E84" s="8">
        <f>IF(OR($I84="",$D84=""),"",IFERROR(IF(VLOOKUP($I84,Sessions!$A$2:$W$21,2,FALSE)="","",VLOOKUP($I84,Sessions!$A$2:$W$21,2,FALSE)),""))</f>
        <v>46268</v>
      </c>
      <c r="F84" s="9">
        <v>0.75486111111111109</v>
      </c>
      <c r="G84" s="3" t="str">
        <f>IF(OR($I84="",$D84=""),"",IFERROR(IF(VLOOKUP($I84,Sessions!$A$2:$W$21,5,FALSE)="","",VLOOKUP($I84,Sessions!$A$2:$W$21,5,FALSE)),""))</f>
        <v>Timmy D. Bell</v>
      </c>
      <c r="H84" s="3" t="s">
        <v>18</v>
      </c>
      <c r="I84" s="4">
        <v>1</v>
      </c>
      <c r="J84" s="7">
        <f>IF(OR($I84="",$D84=""),"",IFERROR(IF(VLOOKUP($I84,Sessions!$A$2:$W$21,13,FALSE)="","",VLOOKUP($I84,Sessions!$A$2:$W$21,13,FALSE)),""))</f>
        <v>1</v>
      </c>
      <c r="K84" s="7">
        <f>IF(OR($I84="",$D84=""),"",IFERROR(IF(VLOOKUP($I84,Sessions!$A$2:$W$21,20,FALSE)="","",VLOOKUP($I84,Sessions!$A$2:$W$21,20,FALSE)),""))</f>
        <v>1</v>
      </c>
      <c r="L84" s="3"/>
      <c r="M84" s="3"/>
      <c r="N84" s="3"/>
      <c r="O84" s="3"/>
      <c r="P84" s="4"/>
    </row>
    <row r="85" spans="1:16" ht="23.1" customHeight="1">
      <c r="A85" s="3">
        <v>84</v>
      </c>
      <c r="B85" s="5">
        <v>218</v>
      </c>
      <c r="C85" s="4" t="s">
        <v>82</v>
      </c>
      <c r="D85" s="6">
        <v>1.0235000000000001</v>
      </c>
      <c r="E85" s="8">
        <f>IF(OR($I85="",$D85=""),"",IFERROR(IF(VLOOKUP($I85,Sessions!$A$2:$W$21,2,FALSE)="","",VLOOKUP($I85,Sessions!$A$2:$W$21,2,FALSE)),""))</f>
        <v>46268</v>
      </c>
      <c r="F85" s="9">
        <v>0.75555555555555554</v>
      </c>
      <c r="G85" s="3" t="str">
        <f>IF(OR($I85="",$D85=""),"",IFERROR(IF(VLOOKUP($I85,Sessions!$A$2:$W$21,5,FALSE)="","",VLOOKUP($I85,Sessions!$A$2:$W$21,5,FALSE)),""))</f>
        <v>Timmy D. Bell</v>
      </c>
      <c r="H85" s="3" t="s">
        <v>18</v>
      </c>
      <c r="I85" s="4">
        <v>1</v>
      </c>
      <c r="J85" s="7">
        <f>IF(OR($I85="",$D85=""),"",IFERROR(IF(VLOOKUP($I85,Sessions!$A$2:$W$21,13,FALSE)="","",VLOOKUP($I85,Sessions!$A$2:$W$21,13,FALSE)),""))</f>
        <v>1</v>
      </c>
      <c r="K85" s="7">
        <f>IF(OR($I85="",$D85=""),"",IFERROR(IF(VLOOKUP($I85,Sessions!$A$2:$W$21,20,FALSE)="","",VLOOKUP($I85,Sessions!$A$2:$W$21,20,FALSE)),""))</f>
        <v>1</v>
      </c>
      <c r="L85" s="3"/>
      <c r="M85" s="3"/>
      <c r="N85" s="3"/>
      <c r="O85" s="3"/>
      <c r="P85" s="4"/>
    </row>
    <row r="86" spans="1:16" ht="23.1" customHeight="1">
      <c r="A86" s="3">
        <v>85</v>
      </c>
      <c r="B86" s="5">
        <v>188</v>
      </c>
      <c r="C86" s="4" t="s">
        <v>82</v>
      </c>
      <c r="D86" s="6">
        <v>1.0085</v>
      </c>
      <c r="E86" s="8">
        <f>IF(OR($I86="",$D86=""),"",IFERROR(IF(VLOOKUP($I86,Sessions!$A$2:$W$21,2,FALSE)="","",VLOOKUP($I86,Sessions!$A$2:$W$21,2,FALSE)),""))</f>
        <v>46268</v>
      </c>
      <c r="F86" s="9">
        <v>0.75555555555555554</v>
      </c>
      <c r="G86" s="3" t="str">
        <f>IF(OR($I86="",$D86=""),"",IFERROR(IF(VLOOKUP($I86,Sessions!$A$2:$W$21,5,FALSE)="","",VLOOKUP($I86,Sessions!$A$2:$W$21,5,FALSE)),""))</f>
        <v>Timmy D. Bell</v>
      </c>
      <c r="H86" s="3" t="s">
        <v>18</v>
      </c>
      <c r="I86" s="4">
        <v>1</v>
      </c>
      <c r="J86" s="7">
        <f>IF(OR($I86="",$D86=""),"",IFERROR(IF(VLOOKUP($I86,Sessions!$A$2:$W$21,13,FALSE)="","",VLOOKUP($I86,Sessions!$A$2:$W$21,13,FALSE)),""))</f>
        <v>1</v>
      </c>
      <c r="K86" s="7">
        <f>IF(OR($I86="",$D86=""),"",IFERROR(IF(VLOOKUP($I86,Sessions!$A$2:$W$21,20,FALSE)="","",VLOOKUP($I86,Sessions!$A$2:$W$21,20,FALSE)),""))</f>
        <v>1</v>
      </c>
      <c r="L86" s="3"/>
      <c r="M86" s="3"/>
      <c r="N86" s="3"/>
      <c r="O86" s="3"/>
      <c r="P86" s="4"/>
    </row>
    <row r="87" spans="1:16" ht="23.1" customHeight="1">
      <c r="A87" s="3">
        <v>86</v>
      </c>
      <c r="B87" s="5">
        <v>53</v>
      </c>
      <c r="C87" s="4" t="s">
        <v>82</v>
      </c>
      <c r="D87" s="6">
        <v>1.0269999999999999</v>
      </c>
      <c r="E87" s="8">
        <f>IF(OR($I87="",$D87=""),"",IFERROR(IF(VLOOKUP($I87,Sessions!$A$2:$W$21,2,FALSE)="","",VLOOKUP($I87,Sessions!$A$2:$W$21,2,FALSE)),""))</f>
        <v>46268</v>
      </c>
      <c r="F87" s="9">
        <v>0.75555555555555554</v>
      </c>
      <c r="G87" s="3" t="str">
        <f>IF(OR($I87="",$D87=""),"",IFERROR(IF(VLOOKUP($I87,Sessions!$A$2:$W$21,5,FALSE)="","",VLOOKUP($I87,Sessions!$A$2:$W$21,5,FALSE)),""))</f>
        <v>Timmy D. Bell</v>
      </c>
      <c r="H87" s="3" t="s">
        <v>18</v>
      </c>
      <c r="I87" s="4">
        <v>1</v>
      </c>
      <c r="J87" s="7">
        <f>IF(OR($I87="",$D87=""),"",IFERROR(IF(VLOOKUP($I87,Sessions!$A$2:$W$21,13,FALSE)="","",VLOOKUP($I87,Sessions!$A$2:$W$21,13,FALSE)),""))</f>
        <v>1</v>
      </c>
      <c r="K87" s="7">
        <f>IF(OR($I87="",$D87=""),"",IFERROR(IF(VLOOKUP($I87,Sessions!$A$2:$W$21,20,FALSE)="","",VLOOKUP($I87,Sessions!$A$2:$W$21,20,FALSE)),""))</f>
        <v>1</v>
      </c>
      <c r="L87" s="3"/>
      <c r="M87" s="3"/>
      <c r="N87" s="3"/>
      <c r="O87" s="3"/>
      <c r="P87" s="4"/>
    </row>
    <row r="88" spans="1:16" ht="23.1" customHeight="1">
      <c r="A88" s="3">
        <v>87</v>
      </c>
      <c r="B88" s="5">
        <v>88</v>
      </c>
      <c r="C88" s="4" t="s">
        <v>82</v>
      </c>
      <c r="D88" s="6">
        <v>1.0024999999999999</v>
      </c>
      <c r="E88" s="8">
        <f>IF(OR($I88="",$D88=""),"",IFERROR(IF(VLOOKUP($I88,Sessions!$A$2:$W$21,2,FALSE)="","",VLOOKUP($I88,Sessions!$A$2:$W$21,2,FALSE)),""))</f>
        <v>46268</v>
      </c>
      <c r="F88" s="9">
        <v>0.75555555555555554</v>
      </c>
      <c r="G88" s="3" t="str">
        <f>IF(OR($I88="",$D88=""),"",IFERROR(IF(VLOOKUP($I88,Sessions!$A$2:$W$21,5,FALSE)="","",VLOOKUP($I88,Sessions!$A$2:$W$21,5,FALSE)),""))</f>
        <v>Timmy D. Bell</v>
      </c>
      <c r="H88" s="3" t="s">
        <v>18</v>
      </c>
      <c r="I88" s="4">
        <v>1</v>
      </c>
      <c r="J88" s="7">
        <f>IF(OR($I88="",$D88=""),"",IFERROR(IF(VLOOKUP($I88,Sessions!$A$2:$W$21,13,FALSE)="","",VLOOKUP($I88,Sessions!$A$2:$W$21,13,FALSE)),""))</f>
        <v>1</v>
      </c>
      <c r="K88" s="7">
        <f>IF(OR($I88="",$D88=""),"",IFERROR(IF(VLOOKUP($I88,Sessions!$A$2:$W$21,20,FALSE)="","",VLOOKUP($I88,Sessions!$A$2:$W$21,20,FALSE)),""))</f>
        <v>1</v>
      </c>
      <c r="L88" s="3"/>
      <c r="M88" s="3"/>
      <c r="N88" s="3"/>
      <c r="O88" s="3"/>
      <c r="P88" s="4"/>
    </row>
    <row r="89" spans="1:16" ht="23.1" customHeight="1">
      <c r="A89" s="3">
        <v>88</v>
      </c>
      <c r="B89" s="5">
        <v>225</v>
      </c>
      <c r="C89" s="4" t="s">
        <v>82</v>
      </c>
      <c r="D89" s="6">
        <v>1.006</v>
      </c>
      <c r="E89" s="8">
        <f>IF(OR($I89="",$D89=""),"",IFERROR(IF(VLOOKUP($I89,Sessions!$A$2:$W$21,2,FALSE)="","",VLOOKUP($I89,Sessions!$A$2:$W$21,2,FALSE)),""))</f>
        <v>46268</v>
      </c>
      <c r="F89" s="9">
        <v>0.75624999999999998</v>
      </c>
      <c r="G89" s="3" t="str">
        <f>IF(OR($I89="",$D89=""),"",IFERROR(IF(VLOOKUP($I89,Sessions!$A$2:$W$21,5,FALSE)="","",VLOOKUP($I89,Sessions!$A$2:$W$21,5,FALSE)),""))</f>
        <v>Timmy D. Bell</v>
      </c>
      <c r="H89" s="3" t="s">
        <v>18</v>
      </c>
      <c r="I89" s="4">
        <v>1</v>
      </c>
      <c r="J89" s="7">
        <f>IF(OR($I89="",$D89=""),"",IFERROR(IF(VLOOKUP($I89,Sessions!$A$2:$W$21,13,FALSE)="","",VLOOKUP($I89,Sessions!$A$2:$W$21,13,FALSE)),""))</f>
        <v>1</v>
      </c>
      <c r="K89" s="7">
        <f>IF(OR($I89="",$D89=""),"",IFERROR(IF(VLOOKUP($I89,Sessions!$A$2:$W$21,20,FALSE)="","",VLOOKUP($I89,Sessions!$A$2:$W$21,20,FALSE)),""))</f>
        <v>1</v>
      </c>
      <c r="L89" s="3"/>
      <c r="M89" s="3"/>
      <c r="N89" s="3"/>
      <c r="O89" s="3"/>
      <c r="P89" s="4"/>
    </row>
    <row r="90" spans="1:16" ht="23.1" customHeight="1">
      <c r="A90" s="3">
        <v>89</v>
      </c>
      <c r="B90" s="5">
        <v>151</v>
      </c>
      <c r="C90" s="4" t="s">
        <v>82</v>
      </c>
      <c r="D90" s="6">
        <v>0.99050000000000005</v>
      </c>
      <c r="E90" s="8">
        <f>IF(OR($I90="",$D90=""),"",IFERROR(IF(VLOOKUP($I90,Sessions!$A$2:$W$21,2,FALSE)="","",VLOOKUP($I90,Sessions!$A$2:$W$21,2,FALSE)),""))</f>
        <v>46268</v>
      </c>
      <c r="F90" s="9">
        <v>0.75624999999999998</v>
      </c>
      <c r="G90" s="3" t="str">
        <f>IF(OR($I90="",$D90=""),"",IFERROR(IF(VLOOKUP($I90,Sessions!$A$2:$W$21,5,FALSE)="","",VLOOKUP($I90,Sessions!$A$2:$W$21,5,FALSE)),""))</f>
        <v>Timmy D. Bell</v>
      </c>
      <c r="H90" s="3" t="s">
        <v>18</v>
      </c>
      <c r="I90" s="4">
        <v>1</v>
      </c>
      <c r="J90" s="7">
        <f>IF(OR($I90="",$D90=""),"",IFERROR(IF(VLOOKUP($I90,Sessions!$A$2:$W$21,13,FALSE)="","",VLOOKUP($I90,Sessions!$A$2:$W$21,13,FALSE)),""))</f>
        <v>1</v>
      </c>
      <c r="K90" s="7">
        <f>IF(OR($I90="",$D90=""),"",IFERROR(IF(VLOOKUP($I90,Sessions!$A$2:$W$21,20,FALSE)="","",VLOOKUP($I90,Sessions!$A$2:$W$21,20,FALSE)),""))</f>
        <v>1</v>
      </c>
      <c r="L90" s="3"/>
      <c r="M90" s="3"/>
      <c r="N90" s="3"/>
      <c r="O90" s="3"/>
      <c r="P90" s="4"/>
    </row>
    <row r="91" spans="1:16" ht="23.1" customHeight="1">
      <c r="A91" s="3">
        <v>90</v>
      </c>
      <c r="B91" s="5">
        <v>51</v>
      </c>
      <c r="C91" s="4" t="s">
        <v>82</v>
      </c>
      <c r="D91" s="6">
        <v>1.0105</v>
      </c>
      <c r="E91" s="8">
        <f>IF(OR($I91="",$D91=""),"",IFERROR(IF(VLOOKUP($I91,Sessions!$A$2:$W$21,2,FALSE)="","",VLOOKUP($I91,Sessions!$A$2:$W$21,2,FALSE)),""))</f>
        <v>46268</v>
      </c>
      <c r="F91" s="9">
        <v>0.75694444444444442</v>
      </c>
      <c r="G91" s="3" t="str">
        <f>IF(OR($I91="",$D91=""),"",IFERROR(IF(VLOOKUP($I91,Sessions!$A$2:$W$21,5,FALSE)="","",VLOOKUP($I91,Sessions!$A$2:$W$21,5,FALSE)),""))</f>
        <v>Timmy D. Bell</v>
      </c>
      <c r="H91" s="3" t="s">
        <v>18</v>
      </c>
      <c r="I91" s="4">
        <v>1</v>
      </c>
      <c r="J91" s="7">
        <f>IF(OR($I91="",$D91=""),"",IFERROR(IF(VLOOKUP($I91,Sessions!$A$2:$W$21,13,FALSE)="","",VLOOKUP($I91,Sessions!$A$2:$W$21,13,FALSE)),""))</f>
        <v>1</v>
      </c>
      <c r="K91" s="7">
        <f>IF(OR($I91="",$D91=""),"",IFERROR(IF(VLOOKUP($I91,Sessions!$A$2:$W$21,20,FALSE)="","",VLOOKUP($I91,Sessions!$A$2:$W$21,20,FALSE)),""))</f>
        <v>1</v>
      </c>
      <c r="L91" s="3"/>
      <c r="M91" s="3"/>
      <c r="N91" s="3"/>
      <c r="O91" s="3"/>
      <c r="P91" s="4"/>
    </row>
    <row r="92" spans="1:16" ht="23.1" customHeight="1">
      <c r="A92" s="3">
        <v>91</v>
      </c>
      <c r="B92" s="5">
        <v>47</v>
      </c>
      <c r="C92" s="4" t="s">
        <v>82</v>
      </c>
      <c r="D92" s="6">
        <v>1.0004999999999999</v>
      </c>
      <c r="E92" s="8">
        <f>IF(OR($I92="",$D92=""),"",IFERROR(IF(VLOOKUP($I92,Sessions!$A$2:$W$21,2,FALSE)="","",VLOOKUP($I92,Sessions!$A$2:$W$21,2,FALSE)),""))</f>
        <v>46268</v>
      </c>
      <c r="F92" s="9">
        <v>0.75694444444444442</v>
      </c>
      <c r="G92" s="3" t="str">
        <f>IF(OR($I92="",$D92=""),"",IFERROR(IF(VLOOKUP($I92,Sessions!$A$2:$W$21,5,FALSE)="","",VLOOKUP($I92,Sessions!$A$2:$W$21,5,FALSE)),""))</f>
        <v>Timmy D. Bell</v>
      </c>
      <c r="H92" s="3" t="s">
        <v>18</v>
      </c>
      <c r="I92" s="4">
        <v>1</v>
      </c>
      <c r="J92" s="7">
        <f>IF(OR($I92="",$D92=""),"",IFERROR(IF(VLOOKUP($I92,Sessions!$A$2:$W$21,13,FALSE)="","",VLOOKUP($I92,Sessions!$A$2:$W$21,13,FALSE)),""))</f>
        <v>1</v>
      </c>
      <c r="K92" s="7">
        <f>IF(OR($I92="",$D92=""),"",IFERROR(IF(VLOOKUP($I92,Sessions!$A$2:$W$21,20,FALSE)="","",VLOOKUP($I92,Sessions!$A$2:$W$21,20,FALSE)),""))</f>
        <v>1</v>
      </c>
      <c r="L92" s="3"/>
      <c r="M92" s="3"/>
      <c r="N92" s="3"/>
      <c r="O92" s="3"/>
      <c r="P92" s="4"/>
    </row>
    <row r="93" spans="1:16" ht="23.1" customHeight="1">
      <c r="A93" s="3">
        <v>92</v>
      </c>
      <c r="B93" s="5">
        <v>16</v>
      </c>
      <c r="C93" s="4" t="s">
        <v>82</v>
      </c>
      <c r="D93" s="6">
        <v>1.0024999999999999</v>
      </c>
      <c r="E93" s="8">
        <f>IF(OR($I93="",$D93=""),"",IFERROR(IF(VLOOKUP($I93,Sessions!$A$2:$W$21,2,FALSE)="","",VLOOKUP($I93,Sessions!$A$2:$W$21,2,FALSE)),""))</f>
        <v>46268</v>
      </c>
      <c r="F93" s="9">
        <v>0.75694444444444442</v>
      </c>
      <c r="G93" s="3" t="str">
        <f>IF(OR($I93="",$D93=""),"",IFERROR(IF(VLOOKUP($I93,Sessions!$A$2:$W$21,5,FALSE)="","",VLOOKUP($I93,Sessions!$A$2:$W$21,5,FALSE)),""))</f>
        <v>Timmy D. Bell</v>
      </c>
      <c r="H93" s="3" t="s">
        <v>18</v>
      </c>
      <c r="I93" s="4">
        <v>1</v>
      </c>
      <c r="J93" s="7">
        <f>IF(OR($I93="",$D93=""),"",IFERROR(IF(VLOOKUP($I93,Sessions!$A$2:$W$21,13,FALSE)="","",VLOOKUP($I93,Sessions!$A$2:$W$21,13,FALSE)),""))</f>
        <v>1</v>
      </c>
      <c r="K93" s="7">
        <f>IF(OR($I93="",$D93=""),"",IFERROR(IF(VLOOKUP($I93,Sessions!$A$2:$W$21,20,FALSE)="","",VLOOKUP($I93,Sessions!$A$2:$W$21,20,FALSE)),""))</f>
        <v>1</v>
      </c>
      <c r="L93" s="3"/>
      <c r="M93" s="3"/>
      <c r="N93" s="3"/>
      <c r="O93" s="3"/>
      <c r="P93" s="4"/>
    </row>
    <row r="94" spans="1:16" ht="23.1" customHeight="1">
      <c r="A94" s="3">
        <v>93</v>
      </c>
      <c r="B94" s="5">
        <v>104</v>
      </c>
      <c r="C94" s="4" t="s">
        <v>82</v>
      </c>
      <c r="D94" s="6">
        <v>1.01</v>
      </c>
      <c r="E94" s="8">
        <f>IF(OR($I94="",$D94=""),"",IFERROR(IF(VLOOKUP($I94,Sessions!$A$2:$W$21,2,FALSE)="","",VLOOKUP($I94,Sessions!$A$2:$W$21,2,FALSE)),""))</f>
        <v>46268</v>
      </c>
      <c r="F94" s="9">
        <v>0.75763888888888886</v>
      </c>
      <c r="G94" s="3" t="str">
        <f>IF(OR($I94="",$D94=""),"",IFERROR(IF(VLOOKUP($I94,Sessions!$A$2:$W$21,5,FALSE)="","",VLOOKUP($I94,Sessions!$A$2:$W$21,5,FALSE)),""))</f>
        <v>Timmy D. Bell</v>
      </c>
      <c r="H94" s="3" t="s">
        <v>18</v>
      </c>
      <c r="I94" s="4">
        <v>1</v>
      </c>
      <c r="J94" s="7">
        <f>IF(OR($I94="",$D94=""),"",IFERROR(IF(VLOOKUP($I94,Sessions!$A$2:$W$21,13,FALSE)="","",VLOOKUP($I94,Sessions!$A$2:$W$21,13,FALSE)),""))</f>
        <v>1</v>
      </c>
      <c r="K94" s="7">
        <f>IF(OR($I94="",$D94=""),"",IFERROR(IF(VLOOKUP($I94,Sessions!$A$2:$W$21,20,FALSE)="","",VLOOKUP($I94,Sessions!$A$2:$W$21,20,FALSE)),""))</f>
        <v>1</v>
      </c>
      <c r="L94" s="3"/>
      <c r="M94" s="3"/>
      <c r="N94" s="3"/>
      <c r="O94" s="3"/>
      <c r="P94" s="4"/>
    </row>
    <row r="95" spans="1:16" ht="23.1" customHeight="1">
      <c r="A95" s="3">
        <v>94</v>
      </c>
      <c r="B95" s="5">
        <v>83</v>
      </c>
      <c r="C95" s="4" t="s">
        <v>82</v>
      </c>
      <c r="D95" s="6">
        <v>1.0249999999999999</v>
      </c>
      <c r="E95" s="8">
        <f>IF(OR($I95="",$D95=""),"",IFERROR(IF(VLOOKUP($I95,Sessions!$A$2:$W$21,2,FALSE)="","",VLOOKUP($I95,Sessions!$A$2:$W$21,2,FALSE)),""))</f>
        <v>46268</v>
      </c>
      <c r="F95" s="9">
        <v>0.75763888888888886</v>
      </c>
      <c r="G95" s="3" t="str">
        <f>IF(OR($I95="",$D95=""),"",IFERROR(IF(VLOOKUP($I95,Sessions!$A$2:$W$21,5,FALSE)="","",VLOOKUP($I95,Sessions!$A$2:$W$21,5,FALSE)),""))</f>
        <v>Timmy D. Bell</v>
      </c>
      <c r="H95" s="3" t="s">
        <v>18</v>
      </c>
      <c r="I95" s="4">
        <v>1</v>
      </c>
      <c r="J95" s="7">
        <f>IF(OR($I95="",$D95=""),"",IFERROR(IF(VLOOKUP($I95,Sessions!$A$2:$W$21,13,FALSE)="","",VLOOKUP($I95,Sessions!$A$2:$W$21,13,FALSE)),""))</f>
        <v>1</v>
      </c>
      <c r="K95" s="7">
        <f>IF(OR($I95="",$D95=""),"",IFERROR(IF(VLOOKUP($I95,Sessions!$A$2:$W$21,20,FALSE)="","",VLOOKUP($I95,Sessions!$A$2:$W$21,20,FALSE)),""))</f>
        <v>1</v>
      </c>
      <c r="L95" s="3"/>
      <c r="M95" s="3"/>
      <c r="N95" s="3"/>
      <c r="O95" s="3"/>
      <c r="P95" s="4"/>
    </row>
    <row r="96" spans="1:16" ht="23.1" customHeight="1">
      <c r="A96" s="3">
        <v>95</v>
      </c>
      <c r="B96" s="5">
        <v>30</v>
      </c>
      <c r="C96" s="4" t="s">
        <v>82</v>
      </c>
      <c r="D96" s="6">
        <v>1.006</v>
      </c>
      <c r="E96" s="8">
        <f>IF(OR($I96="",$D96=""),"",IFERROR(IF(VLOOKUP($I96,Sessions!$A$2:$W$21,2,FALSE)="","",VLOOKUP($I96,Sessions!$A$2:$W$21,2,FALSE)),""))</f>
        <v>46268</v>
      </c>
      <c r="F96" s="9">
        <v>0.75763888888888886</v>
      </c>
      <c r="G96" s="3" t="str">
        <f>IF(OR($I96="",$D96=""),"",IFERROR(IF(VLOOKUP($I96,Sessions!$A$2:$W$21,5,FALSE)="","",VLOOKUP($I96,Sessions!$A$2:$W$21,5,FALSE)),""))</f>
        <v>Timmy D. Bell</v>
      </c>
      <c r="H96" s="3" t="s">
        <v>18</v>
      </c>
      <c r="I96" s="4">
        <v>1</v>
      </c>
      <c r="J96" s="7">
        <f>IF(OR($I96="",$D96=""),"",IFERROR(IF(VLOOKUP($I96,Sessions!$A$2:$W$21,13,FALSE)="","",VLOOKUP($I96,Sessions!$A$2:$W$21,13,FALSE)),""))</f>
        <v>1</v>
      </c>
      <c r="K96" s="7">
        <f>IF(OR($I96="",$D96=""),"",IFERROR(IF(VLOOKUP($I96,Sessions!$A$2:$W$21,20,FALSE)="","",VLOOKUP($I96,Sessions!$A$2:$W$21,20,FALSE)),""))</f>
        <v>1</v>
      </c>
      <c r="L96" s="3"/>
      <c r="M96" s="3"/>
      <c r="N96" s="3"/>
      <c r="O96" s="3"/>
      <c r="P96" s="4"/>
    </row>
    <row r="97" spans="1:16" ht="23.1" customHeight="1">
      <c r="A97" s="3">
        <v>96</v>
      </c>
      <c r="B97" s="5">
        <v>203</v>
      </c>
      <c r="C97" s="4" t="s">
        <v>82</v>
      </c>
      <c r="D97" s="6">
        <v>0.999</v>
      </c>
      <c r="E97" s="8">
        <f>IF(OR($I97="",$D97=""),"",IFERROR(IF(VLOOKUP($I97,Sessions!$A$2:$W$21,2,FALSE)="","",VLOOKUP($I97,Sessions!$A$2:$W$21,2,FALSE)),""))</f>
        <v>46268</v>
      </c>
      <c r="F97" s="9">
        <v>0.7583333333333333</v>
      </c>
      <c r="G97" s="3" t="str">
        <f>IF(OR($I97="",$D97=""),"",IFERROR(IF(VLOOKUP($I97,Sessions!$A$2:$W$21,5,FALSE)="","",VLOOKUP($I97,Sessions!$A$2:$W$21,5,FALSE)),""))</f>
        <v>Timmy D. Bell</v>
      </c>
      <c r="H97" s="3" t="s">
        <v>18</v>
      </c>
      <c r="I97" s="4">
        <v>1</v>
      </c>
      <c r="J97" s="7">
        <f>IF(OR($I97="",$D97=""),"",IFERROR(IF(VLOOKUP($I97,Sessions!$A$2:$W$21,13,FALSE)="","",VLOOKUP($I97,Sessions!$A$2:$W$21,13,FALSE)),""))</f>
        <v>1</v>
      </c>
      <c r="K97" s="7">
        <f>IF(OR($I97="",$D97=""),"",IFERROR(IF(VLOOKUP($I97,Sessions!$A$2:$W$21,20,FALSE)="","",VLOOKUP($I97,Sessions!$A$2:$W$21,20,FALSE)),""))</f>
        <v>1</v>
      </c>
      <c r="L97" s="3"/>
      <c r="M97" s="3"/>
      <c r="N97" s="3"/>
      <c r="O97" s="3"/>
      <c r="P97" s="4"/>
    </row>
    <row r="98" spans="1:16" ht="23.1" customHeight="1">
      <c r="A98" s="3">
        <v>97</v>
      </c>
      <c r="B98" s="5">
        <v>157</v>
      </c>
      <c r="C98" s="4" t="s">
        <v>82</v>
      </c>
      <c r="D98" s="6">
        <v>1.0095000000000001</v>
      </c>
      <c r="E98" s="8">
        <f>IF(OR($I98="",$D98=""),"",IFERROR(IF(VLOOKUP($I98,Sessions!$A$2:$W$21,2,FALSE)="","",VLOOKUP($I98,Sessions!$A$2:$W$21,2,FALSE)),""))</f>
        <v>46268</v>
      </c>
      <c r="F98" s="9">
        <v>0.7583333333333333</v>
      </c>
      <c r="G98" s="3" t="str">
        <f>IF(OR($I98="",$D98=""),"",IFERROR(IF(VLOOKUP($I98,Sessions!$A$2:$W$21,5,FALSE)="","",VLOOKUP($I98,Sessions!$A$2:$W$21,5,FALSE)),""))</f>
        <v>Timmy D. Bell</v>
      </c>
      <c r="H98" s="3" t="s">
        <v>18</v>
      </c>
      <c r="I98" s="4">
        <v>1</v>
      </c>
      <c r="J98" s="7">
        <f>IF(OR($I98="",$D98=""),"",IFERROR(IF(VLOOKUP($I98,Sessions!$A$2:$W$21,13,FALSE)="","",VLOOKUP($I98,Sessions!$A$2:$W$21,13,FALSE)),""))</f>
        <v>1</v>
      </c>
      <c r="K98" s="7">
        <f>IF(OR($I98="",$D98=""),"",IFERROR(IF(VLOOKUP($I98,Sessions!$A$2:$W$21,20,FALSE)="","",VLOOKUP($I98,Sessions!$A$2:$W$21,20,FALSE)),""))</f>
        <v>1</v>
      </c>
      <c r="L98" s="3"/>
      <c r="M98" s="3"/>
      <c r="N98" s="3"/>
      <c r="O98" s="3"/>
      <c r="P98" s="4"/>
    </row>
    <row r="99" spans="1:16" ht="23.1" customHeight="1">
      <c r="A99" s="3">
        <v>98</v>
      </c>
      <c r="B99" s="5">
        <v>190</v>
      </c>
      <c r="C99" s="4" t="s">
        <v>82</v>
      </c>
      <c r="D99" s="6">
        <v>1.0245</v>
      </c>
      <c r="E99" s="8">
        <f>IF(OR($I99="",$D99=""),"",IFERROR(IF(VLOOKUP($I99,Sessions!$A$2:$W$21,2,FALSE)="","",VLOOKUP($I99,Sessions!$A$2:$W$21,2,FALSE)),""))</f>
        <v>46268</v>
      </c>
      <c r="F99" s="9">
        <v>0.75902777777777775</v>
      </c>
      <c r="G99" s="3" t="str">
        <f>IF(OR($I99="",$D99=""),"",IFERROR(IF(VLOOKUP($I99,Sessions!$A$2:$W$21,5,FALSE)="","",VLOOKUP($I99,Sessions!$A$2:$W$21,5,FALSE)),""))</f>
        <v>Timmy D. Bell</v>
      </c>
      <c r="H99" s="3" t="s">
        <v>18</v>
      </c>
      <c r="I99" s="4">
        <v>1</v>
      </c>
      <c r="J99" s="7">
        <f>IF(OR($I99="",$D99=""),"",IFERROR(IF(VLOOKUP($I99,Sessions!$A$2:$W$21,13,FALSE)="","",VLOOKUP($I99,Sessions!$A$2:$W$21,13,FALSE)),""))</f>
        <v>1</v>
      </c>
      <c r="K99" s="7">
        <f>IF(OR($I99="",$D99=""),"",IFERROR(IF(VLOOKUP($I99,Sessions!$A$2:$W$21,20,FALSE)="","",VLOOKUP($I99,Sessions!$A$2:$W$21,20,FALSE)),""))</f>
        <v>1</v>
      </c>
      <c r="L99" s="3"/>
      <c r="M99" s="3"/>
      <c r="N99" s="3"/>
      <c r="O99" s="3"/>
      <c r="P99" s="4"/>
    </row>
    <row r="100" spans="1:16" ht="23.1" customHeight="1">
      <c r="A100" s="3">
        <v>99</v>
      </c>
      <c r="B100" s="5">
        <v>84</v>
      </c>
      <c r="C100" s="4" t="s">
        <v>82</v>
      </c>
      <c r="D100" s="6">
        <v>0.995</v>
      </c>
      <c r="E100" s="8">
        <f>IF(OR($I100="",$D100=""),"",IFERROR(IF(VLOOKUP($I100,Sessions!$A$2:$W$21,2,FALSE)="","",VLOOKUP($I100,Sessions!$A$2:$W$21,2,FALSE)),""))</f>
        <v>46268</v>
      </c>
      <c r="F100" s="9">
        <v>0.75902777777777775</v>
      </c>
      <c r="G100" s="3" t="str">
        <f>IF(OR($I100="",$D100=""),"",IFERROR(IF(VLOOKUP($I100,Sessions!$A$2:$W$21,5,FALSE)="","",VLOOKUP($I100,Sessions!$A$2:$W$21,5,FALSE)),""))</f>
        <v>Timmy D. Bell</v>
      </c>
      <c r="H100" s="3" t="s">
        <v>18</v>
      </c>
      <c r="I100" s="4">
        <v>1</v>
      </c>
      <c r="J100" s="7">
        <f>IF(OR($I100="",$D100=""),"",IFERROR(IF(VLOOKUP($I100,Sessions!$A$2:$W$21,13,FALSE)="","",VLOOKUP($I100,Sessions!$A$2:$W$21,13,FALSE)),""))</f>
        <v>1</v>
      </c>
      <c r="K100" s="7">
        <f>IF(OR($I100="",$D100=""),"",IFERROR(IF(VLOOKUP($I100,Sessions!$A$2:$W$21,20,FALSE)="","",VLOOKUP($I100,Sessions!$A$2:$W$21,20,FALSE)),""))</f>
        <v>1</v>
      </c>
      <c r="L100" s="3"/>
      <c r="M100" s="3"/>
      <c r="N100" s="3"/>
      <c r="O100" s="3"/>
      <c r="P100" s="4"/>
    </row>
    <row r="101" spans="1:16" ht="23.1" customHeight="1">
      <c r="A101" s="3">
        <v>100</v>
      </c>
      <c r="B101" s="5">
        <v>115</v>
      </c>
      <c r="C101" s="4" t="s">
        <v>82</v>
      </c>
      <c r="D101" s="6">
        <v>1.002</v>
      </c>
      <c r="E101" s="8">
        <f>IF(OR($I101="",$D101=""),"",IFERROR(IF(VLOOKUP($I101,Sessions!$A$2:$W$21,2,FALSE)="","",VLOOKUP($I101,Sessions!$A$2:$W$21,2,FALSE)),""))</f>
        <v>46268</v>
      </c>
      <c r="F101" s="9">
        <v>0.75902777777777775</v>
      </c>
      <c r="G101" s="3" t="str">
        <f>IF(OR($I101="",$D101=""),"",IFERROR(IF(VLOOKUP($I101,Sessions!$A$2:$W$21,5,FALSE)="","",VLOOKUP($I101,Sessions!$A$2:$W$21,5,FALSE)),""))</f>
        <v>Timmy D. Bell</v>
      </c>
      <c r="H101" s="3" t="s">
        <v>18</v>
      </c>
      <c r="I101" s="4">
        <v>1</v>
      </c>
      <c r="J101" s="7">
        <f>IF(OR($I101="",$D101=""),"",IFERROR(IF(VLOOKUP($I101,Sessions!$A$2:$W$21,13,FALSE)="","",VLOOKUP($I101,Sessions!$A$2:$W$21,13,FALSE)),""))</f>
        <v>1</v>
      </c>
      <c r="K101" s="7">
        <f>IF(OR($I101="",$D101=""),"",IFERROR(IF(VLOOKUP($I101,Sessions!$A$2:$W$21,20,FALSE)="","",VLOOKUP($I101,Sessions!$A$2:$W$21,20,FALSE)),""))</f>
        <v>1</v>
      </c>
      <c r="L101" s="3"/>
      <c r="M101" s="3"/>
      <c r="N101" s="3"/>
      <c r="O101" s="3"/>
      <c r="P101" s="4"/>
    </row>
    <row r="102" spans="1:16" ht="23.1" customHeight="1">
      <c r="A102" s="3">
        <v>101</v>
      </c>
      <c r="B102" s="5">
        <v>56</v>
      </c>
      <c r="C102" s="4" t="s">
        <v>82</v>
      </c>
      <c r="D102" s="6">
        <v>1.0095000000000001</v>
      </c>
      <c r="E102" s="8">
        <f>IF(OR($I102="",$D102=""),"",IFERROR(IF(VLOOKUP($I102,Sessions!$A$2:$W$21,2,FALSE)="","",VLOOKUP($I102,Sessions!$A$2:$W$21,2,FALSE)),""))</f>
        <v>46268</v>
      </c>
      <c r="F102" s="9">
        <v>0.75972222222222219</v>
      </c>
      <c r="G102" s="3" t="str">
        <f>IF(OR($I102="",$D102=""),"",IFERROR(IF(VLOOKUP($I102,Sessions!$A$2:$W$21,5,FALSE)="","",VLOOKUP($I102,Sessions!$A$2:$W$21,5,FALSE)),""))</f>
        <v>Timmy D. Bell</v>
      </c>
      <c r="H102" s="3" t="s">
        <v>18</v>
      </c>
      <c r="I102" s="4">
        <v>1</v>
      </c>
      <c r="J102" s="7">
        <f>IF(OR($I102="",$D102=""),"",IFERROR(IF(VLOOKUP($I102,Sessions!$A$2:$W$21,13,FALSE)="","",VLOOKUP($I102,Sessions!$A$2:$W$21,13,FALSE)),""))</f>
        <v>1</v>
      </c>
      <c r="K102" s="7">
        <f>IF(OR($I102="",$D102=""),"",IFERROR(IF(VLOOKUP($I102,Sessions!$A$2:$W$21,20,FALSE)="","",VLOOKUP($I102,Sessions!$A$2:$W$21,20,FALSE)),""))</f>
        <v>1</v>
      </c>
      <c r="L102" s="3"/>
      <c r="M102" s="3"/>
      <c r="N102" s="3"/>
      <c r="O102" s="3"/>
      <c r="P102" s="4"/>
    </row>
    <row r="103" spans="1:16" ht="23.1" customHeight="1">
      <c r="A103" s="3">
        <v>102</v>
      </c>
      <c r="B103" s="5">
        <v>28</v>
      </c>
      <c r="C103" s="4" t="s">
        <v>82</v>
      </c>
      <c r="D103" s="6">
        <v>0.999</v>
      </c>
      <c r="E103" s="8">
        <f>IF(OR($I103="",$D103=""),"",IFERROR(IF(VLOOKUP($I103,Sessions!$A$2:$W$21,2,FALSE)="","",VLOOKUP($I103,Sessions!$A$2:$W$21,2,FALSE)),""))</f>
        <v>46268</v>
      </c>
      <c r="F103" s="9">
        <v>0.75972222222222219</v>
      </c>
      <c r="G103" s="3" t="str">
        <f>IF(OR($I103="",$D103=""),"",IFERROR(IF(VLOOKUP($I103,Sessions!$A$2:$W$21,5,FALSE)="","",VLOOKUP($I103,Sessions!$A$2:$W$21,5,FALSE)),""))</f>
        <v>Timmy D. Bell</v>
      </c>
      <c r="H103" s="3" t="s">
        <v>18</v>
      </c>
      <c r="I103" s="4">
        <v>1</v>
      </c>
      <c r="J103" s="7">
        <f>IF(OR($I103="",$D103=""),"",IFERROR(IF(VLOOKUP($I103,Sessions!$A$2:$W$21,13,FALSE)="","",VLOOKUP($I103,Sessions!$A$2:$W$21,13,FALSE)),""))</f>
        <v>1</v>
      </c>
      <c r="K103" s="7">
        <f>IF(OR($I103="",$D103=""),"",IFERROR(IF(VLOOKUP($I103,Sessions!$A$2:$W$21,20,FALSE)="","",VLOOKUP($I103,Sessions!$A$2:$W$21,20,FALSE)),""))</f>
        <v>1</v>
      </c>
      <c r="L103" s="3"/>
      <c r="M103" s="3"/>
      <c r="N103" s="3"/>
      <c r="O103" s="3"/>
      <c r="P103" s="4"/>
    </row>
    <row r="104" spans="1:16" ht="23.1" customHeight="1">
      <c r="A104" s="3">
        <v>103</v>
      </c>
      <c r="B104" s="5">
        <v>179</v>
      </c>
      <c r="C104" s="4" t="s">
        <v>82</v>
      </c>
      <c r="D104" s="6">
        <v>1</v>
      </c>
      <c r="E104" s="8">
        <f>IF(OR($I104="",$D104=""),"",IFERROR(IF(VLOOKUP($I104,Sessions!$A$2:$W$21,2,FALSE)="","",VLOOKUP($I104,Sessions!$A$2:$W$21,2,FALSE)),""))</f>
        <v>46268</v>
      </c>
      <c r="F104" s="9">
        <v>0.75972222222222219</v>
      </c>
      <c r="G104" s="3" t="str">
        <f>IF(OR($I104="",$D104=""),"",IFERROR(IF(VLOOKUP($I104,Sessions!$A$2:$W$21,5,FALSE)="","",VLOOKUP($I104,Sessions!$A$2:$W$21,5,FALSE)),""))</f>
        <v>Timmy D. Bell</v>
      </c>
      <c r="H104" s="3" t="s">
        <v>18</v>
      </c>
      <c r="I104" s="4">
        <v>1</v>
      </c>
      <c r="J104" s="7">
        <f>IF(OR($I104="",$D104=""),"",IFERROR(IF(VLOOKUP($I104,Sessions!$A$2:$W$21,13,FALSE)="","",VLOOKUP($I104,Sessions!$A$2:$W$21,13,FALSE)),""))</f>
        <v>1</v>
      </c>
      <c r="K104" s="7">
        <f>IF(OR($I104="",$D104=""),"",IFERROR(IF(VLOOKUP($I104,Sessions!$A$2:$W$21,20,FALSE)="","",VLOOKUP($I104,Sessions!$A$2:$W$21,20,FALSE)),""))</f>
        <v>1</v>
      </c>
      <c r="L104" s="3"/>
      <c r="M104" s="3"/>
      <c r="N104" s="3"/>
      <c r="O104" s="3"/>
      <c r="P104" s="4"/>
    </row>
    <row r="105" spans="1:16" ht="23.1" customHeight="1">
      <c r="A105" s="3">
        <v>104</v>
      </c>
      <c r="B105" s="5">
        <v>210</v>
      </c>
      <c r="C105" s="4" t="s">
        <v>82</v>
      </c>
      <c r="D105" s="6">
        <v>0.99950000000000006</v>
      </c>
      <c r="E105" s="8">
        <f>IF(OR($I105="",$D105=""),"",IFERROR(IF(VLOOKUP($I105,Sessions!$A$2:$W$21,2,FALSE)="","",VLOOKUP($I105,Sessions!$A$2:$W$21,2,FALSE)),""))</f>
        <v>46268</v>
      </c>
      <c r="F105" s="9">
        <v>0.75972222222222219</v>
      </c>
      <c r="G105" s="3" t="str">
        <f>IF(OR($I105="",$D105=""),"",IFERROR(IF(VLOOKUP($I105,Sessions!$A$2:$W$21,5,FALSE)="","",VLOOKUP($I105,Sessions!$A$2:$W$21,5,FALSE)),""))</f>
        <v>Timmy D. Bell</v>
      </c>
      <c r="H105" s="3" t="s">
        <v>18</v>
      </c>
      <c r="I105" s="4">
        <v>1</v>
      </c>
      <c r="J105" s="7">
        <f>IF(OR($I105="",$D105=""),"",IFERROR(IF(VLOOKUP($I105,Sessions!$A$2:$W$21,13,FALSE)="","",VLOOKUP($I105,Sessions!$A$2:$W$21,13,FALSE)),""))</f>
        <v>1</v>
      </c>
      <c r="K105" s="7">
        <f>IF(OR($I105="",$D105=""),"",IFERROR(IF(VLOOKUP($I105,Sessions!$A$2:$W$21,20,FALSE)="","",VLOOKUP($I105,Sessions!$A$2:$W$21,20,FALSE)),""))</f>
        <v>1</v>
      </c>
      <c r="L105" s="3"/>
      <c r="M105" s="3"/>
      <c r="N105" s="3"/>
      <c r="O105" s="3"/>
      <c r="P105" s="4"/>
    </row>
    <row r="106" spans="1:16" ht="23.1" customHeight="1">
      <c r="A106" s="3">
        <v>105</v>
      </c>
      <c r="B106" s="5">
        <v>37</v>
      </c>
      <c r="C106" s="4" t="s">
        <v>82</v>
      </c>
      <c r="D106" s="6">
        <v>1</v>
      </c>
      <c r="E106" s="8">
        <f>IF(OR($I106="",$D106=""),"",IFERROR(IF(VLOOKUP($I106,Sessions!$A$2:$W$21,2,FALSE)="","",VLOOKUP($I106,Sessions!$A$2:$W$21,2,FALSE)),""))</f>
        <v>46268</v>
      </c>
      <c r="F106" s="9">
        <v>0.76041666666666663</v>
      </c>
      <c r="G106" s="3" t="str">
        <f>IF(OR($I106="",$D106=""),"",IFERROR(IF(VLOOKUP($I106,Sessions!$A$2:$W$21,5,FALSE)="","",VLOOKUP($I106,Sessions!$A$2:$W$21,5,FALSE)),""))</f>
        <v>Timmy D. Bell</v>
      </c>
      <c r="H106" s="3" t="s">
        <v>18</v>
      </c>
      <c r="I106" s="4">
        <v>1</v>
      </c>
      <c r="J106" s="7">
        <f>IF(OR($I106="",$D106=""),"",IFERROR(IF(VLOOKUP($I106,Sessions!$A$2:$W$21,13,FALSE)="","",VLOOKUP($I106,Sessions!$A$2:$W$21,13,FALSE)),""))</f>
        <v>1</v>
      </c>
      <c r="K106" s="7">
        <f>IF(OR($I106="",$D106=""),"",IFERROR(IF(VLOOKUP($I106,Sessions!$A$2:$W$21,20,FALSE)="","",VLOOKUP($I106,Sessions!$A$2:$W$21,20,FALSE)),""))</f>
        <v>1</v>
      </c>
      <c r="L106" s="3"/>
      <c r="M106" s="3"/>
      <c r="N106" s="3"/>
      <c r="O106" s="3"/>
      <c r="P106" s="4"/>
    </row>
    <row r="107" spans="1:16" ht="23.1" customHeight="1">
      <c r="A107" s="3">
        <v>106</v>
      </c>
      <c r="B107" s="5">
        <v>62</v>
      </c>
      <c r="C107" s="4" t="s">
        <v>82</v>
      </c>
      <c r="D107" s="6">
        <v>0.99850000000000005</v>
      </c>
      <c r="E107" s="8">
        <f>IF(OR($I107="",$D107=""),"",IFERROR(IF(VLOOKUP($I107,Sessions!$A$2:$W$21,2,FALSE)="","",VLOOKUP($I107,Sessions!$A$2:$W$21,2,FALSE)),""))</f>
        <v>46268</v>
      </c>
      <c r="F107" s="9">
        <v>0.76041666666666663</v>
      </c>
      <c r="G107" s="3" t="str">
        <f>IF(OR($I107="",$D107=""),"",IFERROR(IF(VLOOKUP($I107,Sessions!$A$2:$W$21,5,FALSE)="","",VLOOKUP($I107,Sessions!$A$2:$W$21,5,FALSE)),""))</f>
        <v>Timmy D. Bell</v>
      </c>
      <c r="H107" s="3" t="s">
        <v>18</v>
      </c>
      <c r="I107" s="4">
        <v>1</v>
      </c>
      <c r="J107" s="7">
        <f>IF(OR($I107="",$D107=""),"",IFERROR(IF(VLOOKUP($I107,Sessions!$A$2:$W$21,13,FALSE)="","",VLOOKUP($I107,Sessions!$A$2:$W$21,13,FALSE)),""))</f>
        <v>1</v>
      </c>
      <c r="K107" s="7">
        <f>IF(OR($I107="",$D107=""),"",IFERROR(IF(VLOOKUP($I107,Sessions!$A$2:$W$21,20,FALSE)="","",VLOOKUP($I107,Sessions!$A$2:$W$21,20,FALSE)),""))</f>
        <v>1</v>
      </c>
      <c r="L107" s="3"/>
      <c r="M107" s="3"/>
      <c r="N107" s="3"/>
      <c r="O107" s="3"/>
      <c r="P107" s="4"/>
    </row>
    <row r="108" spans="1:16" ht="23.1" customHeight="1">
      <c r="A108" s="3">
        <v>107</v>
      </c>
      <c r="B108" s="5">
        <v>159</v>
      </c>
      <c r="C108" s="4" t="s">
        <v>82</v>
      </c>
      <c r="D108" s="6">
        <v>1.002</v>
      </c>
      <c r="E108" s="8">
        <f>IF(OR($I108="",$D108=""),"",IFERROR(IF(VLOOKUP($I108,Sessions!$A$2:$W$21,2,FALSE)="","",VLOOKUP($I108,Sessions!$A$2:$W$21,2,FALSE)),""))</f>
        <v>46268</v>
      </c>
      <c r="F108" s="9">
        <v>0.76041666666666663</v>
      </c>
      <c r="G108" s="3" t="str">
        <f>IF(OR($I108="",$D108=""),"",IFERROR(IF(VLOOKUP($I108,Sessions!$A$2:$W$21,5,FALSE)="","",VLOOKUP($I108,Sessions!$A$2:$W$21,5,FALSE)),""))</f>
        <v>Timmy D. Bell</v>
      </c>
      <c r="H108" s="3" t="s">
        <v>18</v>
      </c>
      <c r="I108" s="4">
        <v>1</v>
      </c>
      <c r="J108" s="7">
        <f>IF(OR($I108="",$D108=""),"",IFERROR(IF(VLOOKUP($I108,Sessions!$A$2:$W$21,13,FALSE)="","",VLOOKUP($I108,Sessions!$A$2:$W$21,13,FALSE)),""))</f>
        <v>1</v>
      </c>
      <c r="K108" s="7">
        <f>IF(OR($I108="",$D108=""),"",IFERROR(IF(VLOOKUP($I108,Sessions!$A$2:$W$21,20,FALSE)="","",VLOOKUP($I108,Sessions!$A$2:$W$21,20,FALSE)),""))</f>
        <v>1</v>
      </c>
      <c r="L108" s="3"/>
      <c r="M108" s="3"/>
      <c r="N108" s="3"/>
      <c r="O108" s="3"/>
      <c r="P108" s="4"/>
    </row>
    <row r="109" spans="1:16" ht="23.1" customHeight="1">
      <c r="A109" s="3">
        <v>108</v>
      </c>
      <c r="B109" s="5">
        <v>145</v>
      </c>
      <c r="C109" s="4" t="s">
        <v>82</v>
      </c>
      <c r="D109" s="6">
        <v>0.99950000000000006</v>
      </c>
      <c r="E109" s="8">
        <f>IF(OR($I109="",$D109=""),"",IFERROR(IF(VLOOKUP($I109,Sessions!$A$2:$W$21,2,FALSE)="","",VLOOKUP($I109,Sessions!$A$2:$W$21,2,FALSE)),""))</f>
        <v>46268</v>
      </c>
      <c r="F109" s="9">
        <v>0.76111111111111107</v>
      </c>
      <c r="G109" s="3" t="str">
        <f>IF(OR($I109="",$D109=""),"",IFERROR(IF(VLOOKUP($I109,Sessions!$A$2:$W$21,5,FALSE)="","",VLOOKUP($I109,Sessions!$A$2:$W$21,5,FALSE)),""))</f>
        <v>Timmy D. Bell</v>
      </c>
      <c r="H109" s="3" t="s">
        <v>18</v>
      </c>
      <c r="I109" s="4">
        <v>1</v>
      </c>
      <c r="J109" s="7">
        <f>IF(OR($I109="",$D109=""),"",IFERROR(IF(VLOOKUP($I109,Sessions!$A$2:$W$21,13,FALSE)="","",VLOOKUP($I109,Sessions!$A$2:$W$21,13,FALSE)),""))</f>
        <v>1</v>
      </c>
      <c r="K109" s="7">
        <f>IF(OR($I109="",$D109=""),"",IFERROR(IF(VLOOKUP($I109,Sessions!$A$2:$W$21,20,FALSE)="","",VLOOKUP($I109,Sessions!$A$2:$W$21,20,FALSE)),""))</f>
        <v>1</v>
      </c>
      <c r="L109" s="3"/>
      <c r="M109" s="3"/>
      <c r="N109" s="3"/>
      <c r="O109" s="3"/>
      <c r="P109" s="4"/>
    </row>
    <row r="110" spans="1:16" ht="23.1" customHeight="1">
      <c r="A110" s="3">
        <v>109</v>
      </c>
      <c r="B110" s="5">
        <v>200</v>
      </c>
      <c r="C110" s="4" t="s">
        <v>82</v>
      </c>
      <c r="D110" s="6">
        <v>0.99399999999999999</v>
      </c>
      <c r="E110" s="8">
        <f>IF(OR($I110="",$D110=""),"",IFERROR(IF(VLOOKUP($I110,Sessions!$A$2:$W$21,2,FALSE)="","",VLOOKUP($I110,Sessions!$A$2:$W$21,2,FALSE)),""))</f>
        <v>46268</v>
      </c>
      <c r="F110" s="9">
        <v>0.76111111111111107</v>
      </c>
      <c r="G110" s="3" t="str">
        <f>IF(OR($I110="",$D110=""),"",IFERROR(IF(VLOOKUP($I110,Sessions!$A$2:$W$21,5,FALSE)="","",VLOOKUP($I110,Sessions!$A$2:$W$21,5,FALSE)),""))</f>
        <v>Timmy D. Bell</v>
      </c>
      <c r="H110" s="3" t="s">
        <v>18</v>
      </c>
      <c r="I110" s="4">
        <v>1</v>
      </c>
      <c r="J110" s="7">
        <f>IF(OR($I110="",$D110=""),"",IFERROR(IF(VLOOKUP($I110,Sessions!$A$2:$W$21,13,FALSE)="","",VLOOKUP($I110,Sessions!$A$2:$W$21,13,FALSE)),""))</f>
        <v>1</v>
      </c>
      <c r="K110" s="7">
        <f>IF(OR($I110="",$D110=""),"",IFERROR(IF(VLOOKUP($I110,Sessions!$A$2:$W$21,20,FALSE)="","",VLOOKUP($I110,Sessions!$A$2:$W$21,20,FALSE)),""))</f>
        <v>1</v>
      </c>
      <c r="L110" s="3"/>
      <c r="M110" s="3"/>
      <c r="N110" s="3"/>
      <c r="O110" s="3"/>
      <c r="P110" s="4"/>
    </row>
    <row r="111" spans="1:16" ht="23.1" customHeight="1">
      <c r="A111" s="3">
        <v>110</v>
      </c>
      <c r="B111" s="5">
        <v>96</v>
      </c>
      <c r="C111" s="4" t="s">
        <v>82</v>
      </c>
      <c r="D111" s="6">
        <v>0.99099999999999999</v>
      </c>
      <c r="E111" s="8">
        <f>IF(OR($I111="",$D111=""),"",IFERROR(IF(VLOOKUP($I111,Sessions!$A$2:$W$21,2,FALSE)="","",VLOOKUP($I111,Sessions!$A$2:$W$21,2,FALSE)),""))</f>
        <v>46268</v>
      </c>
      <c r="F111" s="9">
        <v>0.76111111111111107</v>
      </c>
      <c r="G111" s="3" t="str">
        <f>IF(OR($I111="",$D111=""),"",IFERROR(IF(VLOOKUP($I111,Sessions!$A$2:$W$21,5,FALSE)="","",VLOOKUP($I111,Sessions!$A$2:$W$21,5,FALSE)),""))</f>
        <v>Timmy D. Bell</v>
      </c>
      <c r="H111" s="3" t="s">
        <v>18</v>
      </c>
      <c r="I111" s="4">
        <v>1</v>
      </c>
      <c r="J111" s="7">
        <f>IF(OR($I111="",$D111=""),"",IFERROR(IF(VLOOKUP($I111,Sessions!$A$2:$W$21,13,FALSE)="","",VLOOKUP($I111,Sessions!$A$2:$W$21,13,FALSE)),""))</f>
        <v>1</v>
      </c>
      <c r="K111" s="7">
        <f>IF(OR($I111="",$D111=""),"",IFERROR(IF(VLOOKUP($I111,Sessions!$A$2:$W$21,20,FALSE)="","",VLOOKUP($I111,Sessions!$A$2:$W$21,20,FALSE)),""))</f>
        <v>1</v>
      </c>
      <c r="L111" s="3"/>
      <c r="M111" s="3"/>
      <c r="N111" s="3"/>
      <c r="O111" s="3"/>
      <c r="P111" s="4"/>
    </row>
    <row r="112" spans="1:16" ht="23.1" customHeight="1">
      <c r="A112" s="3">
        <v>111</v>
      </c>
      <c r="B112" s="5">
        <v>17</v>
      </c>
      <c r="C112" s="4" t="s">
        <v>82</v>
      </c>
      <c r="D112" s="6">
        <v>1.0035000000000001</v>
      </c>
      <c r="E112" s="8">
        <f>IF(OR($I112="",$D112=""),"",IFERROR(IF(VLOOKUP($I112,Sessions!$A$2:$W$21,2,FALSE)="","",VLOOKUP($I112,Sessions!$A$2:$W$21,2,FALSE)),""))</f>
        <v>46268</v>
      </c>
      <c r="F112" s="9">
        <v>0.76180555555555551</v>
      </c>
      <c r="G112" s="3" t="str">
        <f>IF(OR($I112="",$D112=""),"",IFERROR(IF(VLOOKUP($I112,Sessions!$A$2:$W$21,5,FALSE)="","",VLOOKUP($I112,Sessions!$A$2:$W$21,5,FALSE)),""))</f>
        <v>Timmy D. Bell</v>
      </c>
      <c r="H112" s="3" t="s">
        <v>18</v>
      </c>
      <c r="I112" s="4">
        <v>1</v>
      </c>
      <c r="J112" s="7">
        <f>IF(OR($I112="",$D112=""),"",IFERROR(IF(VLOOKUP($I112,Sessions!$A$2:$W$21,13,FALSE)="","",VLOOKUP($I112,Sessions!$A$2:$W$21,13,FALSE)),""))</f>
        <v>1</v>
      </c>
      <c r="K112" s="7">
        <f>IF(OR($I112="",$D112=""),"",IFERROR(IF(VLOOKUP($I112,Sessions!$A$2:$W$21,20,FALSE)="","",VLOOKUP($I112,Sessions!$A$2:$W$21,20,FALSE)),""))</f>
        <v>1</v>
      </c>
      <c r="L112" s="3"/>
      <c r="M112" s="3"/>
      <c r="N112" s="3"/>
      <c r="O112" s="3"/>
      <c r="P112" s="4"/>
    </row>
    <row r="113" spans="1:16" ht="23.1" customHeight="1">
      <c r="A113" s="3">
        <v>112</v>
      </c>
      <c r="B113" s="5">
        <v>131</v>
      </c>
      <c r="C113" s="4" t="s">
        <v>82</v>
      </c>
      <c r="D113" s="6">
        <v>0.98299999999999998</v>
      </c>
      <c r="E113" s="8">
        <f>IF(OR($I113="",$D113=""),"",IFERROR(IF(VLOOKUP($I113,Sessions!$A$2:$W$21,2,FALSE)="","",VLOOKUP($I113,Sessions!$A$2:$W$21,2,FALSE)),""))</f>
        <v>46268</v>
      </c>
      <c r="F113" s="9">
        <v>0.76180555555555551</v>
      </c>
      <c r="G113" s="3" t="str">
        <f>IF(OR($I113="",$D113=""),"",IFERROR(IF(VLOOKUP($I113,Sessions!$A$2:$W$21,5,FALSE)="","",VLOOKUP($I113,Sessions!$A$2:$W$21,5,FALSE)),""))</f>
        <v>Timmy D. Bell</v>
      </c>
      <c r="H113" s="3" t="s">
        <v>18</v>
      </c>
      <c r="I113" s="4">
        <v>1</v>
      </c>
      <c r="J113" s="7">
        <f>IF(OR($I113="",$D113=""),"",IFERROR(IF(VLOOKUP($I113,Sessions!$A$2:$W$21,13,FALSE)="","",VLOOKUP($I113,Sessions!$A$2:$W$21,13,FALSE)),""))</f>
        <v>1</v>
      </c>
      <c r="K113" s="7">
        <f>IF(OR($I113="",$D113=""),"",IFERROR(IF(VLOOKUP($I113,Sessions!$A$2:$W$21,20,FALSE)="","",VLOOKUP($I113,Sessions!$A$2:$W$21,20,FALSE)),""))</f>
        <v>1</v>
      </c>
      <c r="L113" s="3"/>
      <c r="M113" s="3"/>
      <c r="N113" s="3"/>
      <c r="O113" s="3"/>
      <c r="P113" s="4"/>
    </row>
    <row r="114" spans="1:16" ht="23.1" customHeight="1">
      <c r="A114" s="3">
        <v>113</v>
      </c>
      <c r="B114" s="5">
        <v>147</v>
      </c>
      <c r="C114" s="4" t="s">
        <v>82</v>
      </c>
      <c r="D114" s="6">
        <v>0.999</v>
      </c>
      <c r="E114" s="8">
        <f>IF(OR($I114="",$D114=""),"",IFERROR(IF(VLOOKUP($I114,Sessions!$A$2:$W$21,2,FALSE)="","",VLOOKUP($I114,Sessions!$A$2:$W$21,2,FALSE)),""))</f>
        <v>46268</v>
      </c>
      <c r="F114" s="9">
        <v>0.76180555555555551</v>
      </c>
      <c r="G114" s="3" t="str">
        <f>IF(OR($I114="",$D114=""),"",IFERROR(IF(VLOOKUP($I114,Sessions!$A$2:$W$21,5,FALSE)="","",VLOOKUP($I114,Sessions!$A$2:$W$21,5,FALSE)),""))</f>
        <v>Timmy D. Bell</v>
      </c>
      <c r="H114" s="3" t="s">
        <v>18</v>
      </c>
      <c r="I114" s="4">
        <v>1</v>
      </c>
      <c r="J114" s="7">
        <f>IF(OR($I114="",$D114=""),"",IFERROR(IF(VLOOKUP($I114,Sessions!$A$2:$W$21,13,FALSE)="","",VLOOKUP($I114,Sessions!$A$2:$W$21,13,FALSE)),""))</f>
        <v>1</v>
      </c>
      <c r="K114" s="7">
        <f>IF(OR($I114="",$D114=""),"",IFERROR(IF(VLOOKUP($I114,Sessions!$A$2:$W$21,20,FALSE)="","",VLOOKUP($I114,Sessions!$A$2:$W$21,20,FALSE)),""))</f>
        <v>1</v>
      </c>
      <c r="L114" s="3"/>
      <c r="M114" s="3"/>
      <c r="N114" s="3"/>
      <c r="O114" s="3"/>
      <c r="P114" s="4"/>
    </row>
    <row r="115" spans="1:16" ht="23.1" customHeight="1">
      <c r="A115" s="3">
        <v>114</v>
      </c>
      <c r="B115" s="5">
        <v>6</v>
      </c>
      <c r="C115" s="4" t="s">
        <v>82</v>
      </c>
      <c r="D115" s="6">
        <v>1</v>
      </c>
      <c r="E115" s="8">
        <f>IF(OR($I115="",$D115=""),"",IFERROR(IF(VLOOKUP($I115,Sessions!$A$2:$W$21,2,FALSE)="","",VLOOKUP($I115,Sessions!$A$2:$W$21,2,FALSE)),""))</f>
        <v>46268</v>
      </c>
      <c r="F115" s="9">
        <v>0.76249999999999996</v>
      </c>
      <c r="G115" s="3" t="str">
        <f>IF(OR($I115="",$D115=""),"",IFERROR(IF(VLOOKUP($I115,Sessions!$A$2:$W$21,5,FALSE)="","",VLOOKUP($I115,Sessions!$A$2:$W$21,5,FALSE)),""))</f>
        <v>Timmy D. Bell</v>
      </c>
      <c r="H115" s="3" t="s">
        <v>18</v>
      </c>
      <c r="I115" s="4">
        <v>1</v>
      </c>
      <c r="J115" s="7">
        <f>IF(OR($I115="",$D115=""),"",IFERROR(IF(VLOOKUP($I115,Sessions!$A$2:$W$21,13,FALSE)="","",VLOOKUP($I115,Sessions!$A$2:$W$21,13,FALSE)),""))</f>
        <v>1</v>
      </c>
      <c r="K115" s="7">
        <f>IF(OR($I115="",$D115=""),"",IFERROR(IF(VLOOKUP($I115,Sessions!$A$2:$W$21,20,FALSE)="","",VLOOKUP($I115,Sessions!$A$2:$W$21,20,FALSE)),""))</f>
        <v>1</v>
      </c>
      <c r="L115" s="3"/>
      <c r="M115" s="3"/>
      <c r="N115" s="3"/>
      <c r="O115" s="3"/>
      <c r="P115" s="4"/>
    </row>
    <row r="116" spans="1:16" ht="23.1" customHeight="1">
      <c r="A116" s="3">
        <v>115</v>
      </c>
      <c r="B116" s="5">
        <v>152</v>
      </c>
      <c r="C116" s="4" t="s">
        <v>82</v>
      </c>
      <c r="D116" s="6">
        <v>0.98</v>
      </c>
      <c r="E116" s="8">
        <f>IF(OR($I116="",$D116=""),"",IFERROR(IF(VLOOKUP($I116,Sessions!$A$2:$W$21,2,FALSE)="","",VLOOKUP($I116,Sessions!$A$2:$W$21,2,FALSE)),""))</f>
        <v>46268</v>
      </c>
      <c r="F116" s="9">
        <v>0.76249999999999996</v>
      </c>
      <c r="G116" s="3" t="str">
        <f>IF(OR($I116="",$D116=""),"",IFERROR(IF(VLOOKUP($I116,Sessions!$A$2:$W$21,5,FALSE)="","",VLOOKUP($I116,Sessions!$A$2:$W$21,5,FALSE)),""))</f>
        <v>Timmy D. Bell</v>
      </c>
      <c r="H116" s="3" t="s">
        <v>18</v>
      </c>
      <c r="I116" s="4">
        <v>1</v>
      </c>
      <c r="J116" s="7">
        <f>IF(OR($I116="",$D116=""),"",IFERROR(IF(VLOOKUP($I116,Sessions!$A$2:$W$21,13,FALSE)="","",VLOOKUP($I116,Sessions!$A$2:$W$21,13,FALSE)),""))</f>
        <v>1</v>
      </c>
      <c r="K116" s="7">
        <f>IF(OR($I116="",$D116=""),"",IFERROR(IF(VLOOKUP($I116,Sessions!$A$2:$W$21,20,FALSE)="","",VLOOKUP($I116,Sessions!$A$2:$W$21,20,FALSE)),""))</f>
        <v>1</v>
      </c>
      <c r="L116" s="3"/>
      <c r="M116" s="3"/>
      <c r="N116" s="3"/>
      <c r="O116" s="3"/>
      <c r="P116" s="4"/>
    </row>
    <row r="117" spans="1:16" ht="23.1" customHeight="1">
      <c r="A117" s="3">
        <v>116</v>
      </c>
      <c r="B117" s="5">
        <v>59</v>
      </c>
      <c r="C117" s="4" t="s">
        <v>82</v>
      </c>
      <c r="D117" s="6">
        <v>0.999</v>
      </c>
      <c r="E117" s="8">
        <f>IF(OR($I117="",$D117=""),"",IFERROR(IF(VLOOKUP($I117,Sessions!$A$2:$W$21,2,FALSE)="","",VLOOKUP($I117,Sessions!$A$2:$W$21,2,FALSE)),""))</f>
        <v>46268</v>
      </c>
      <c r="F117" s="9">
        <v>0.76249999999999996</v>
      </c>
      <c r="G117" s="3" t="str">
        <f>IF(OR($I117="",$D117=""),"",IFERROR(IF(VLOOKUP($I117,Sessions!$A$2:$W$21,5,FALSE)="","",VLOOKUP($I117,Sessions!$A$2:$W$21,5,FALSE)),""))</f>
        <v>Timmy D. Bell</v>
      </c>
      <c r="H117" s="3" t="s">
        <v>18</v>
      </c>
      <c r="I117" s="4">
        <v>1</v>
      </c>
      <c r="J117" s="7">
        <f>IF(OR($I117="",$D117=""),"",IFERROR(IF(VLOOKUP($I117,Sessions!$A$2:$W$21,13,FALSE)="","",VLOOKUP($I117,Sessions!$A$2:$W$21,13,FALSE)),""))</f>
        <v>1</v>
      </c>
      <c r="K117" s="7">
        <f>IF(OR($I117="",$D117=""),"",IFERROR(IF(VLOOKUP($I117,Sessions!$A$2:$W$21,20,FALSE)="","",VLOOKUP($I117,Sessions!$A$2:$W$21,20,FALSE)),""))</f>
        <v>1</v>
      </c>
      <c r="L117" s="3"/>
      <c r="M117" s="3"/>
      <c r="N117" s="3"/>
      <c r="O117" s="3"/>
      <c r="P117" s="4"/>
    </row>
    <row r="118" spans="1:16" ht="23.1" customHeight="1">
      <c r="A118" s="3">
        <v>117</v>
      </c>
      <c r="B118" s="5">
        <v>112</v>
      </c>
      <c r="C118" s="4" t="s">
        <v>82</v>
      </c>
      <c r="D118" s="6">
        <v>0.99950000000000006</v>
      </c>
      <c r="E118" s="8">
        <f>IF(OR($I118="",$D118=""),"",IFERROR(IF(VLOOKUP($I118,Sessions!$A$2:$W$21,2,FALSE)="","",VLOOKUP($I118,Sessions!$A$2:$W$21,2,FALSE)),""))</f>
        <v>46268</v>
      </c>
      <c r="F118" s="9">
        <v>0.7631944444444444</v>
      </c>
      <c r="G118" s="3" t="str">
        <f>IF(OR($I118="",$D118=""),"",IFERROR(IF(VLOOKUP($I118,Sessions!$A$2:$W$21,5,FALSE)="","",VLOOKUP($I118,Sessions!$A$2:$W$21,5,FALSE)),""))</f>
        <v>Timmy D. Bell</v>
      </c>
      <c r="H118" s="3" t="s">
        <v>18</v>
      </c>
      <c r="I118" s="4">
        <v>1</v>
      </c>
      <c r="J118" s="7">
        <f>IF(OR($I118="",$D118=""),"",IFERROR(IF(VLOOKUP($I118,Sessions!$A$2:$W$21,13,FALSE)="","",VLOOKUP($I118,Sessions!$A$2:$W$21,13,FALSE)),""))</f>
        <v>1</v>
      </c>
      <c r="K118" s="7">
        <f>IF(OR($I118="",$D118=""),"",IFERROR(IF(VLOOKUP($I118,Sessions!$A$2:$W$21,20,FALSE)="","",VLOOKUP($I118,Sessions!$A$2:$W$21,20,FALSE)),""))</f>
        <v>1</v>
      </c>
      <c r="L118" s="3"/>
      <c r="M118" s="3"/>
      <c r="N118" s="3"/>
      <c r="O118" s="3"/>
      <c r="P118" s="4"/>
    </row>
    <row r="119" spans="1:16" ht="23.1" customHeight="1">
      <c r="A119" s="3">
        <v>118</v>
      </c>
      <c r="B119" s="5">
        <v>31</v>
      </c>
      <c r="C119" s="4" t="s">
        <v>82</v>
      </c>
      <c r="D119" s="6">
        <v>0.999</v>
      </c>
      <c r="E119" s="8">
        <f>IF(OR($I119="",$D119=""),"",IFERROR(IF(VLOOKUP($I119,Sessions!$A$2:$W$21,2,FALSE)="","",VLOOKUP($I119,Sessions!$A$2:$W$21,2,FALSE)),""))</f>
        <v>46268</v>
      </c>
      <c r="F119" s="9">
        <v>0.7631944444444444</v>
      </c>
      <c r="G119" s="3" t="str">
        <f>IF(OR($I119="",$D119=""),"",IFERROR(IF(VLOOKUP($I119,Sessions!$A$2:$W$21,5,FALSE)="","",VLOOKUP($I119,Sessions!$A$2:$W$21,5,FALSE)),""))</f>
        <v>Timmy D. Bell</v>
      </c>
      <c r="H119" s="3" t="s">
        <v>18</v>
      </c>
      <c r="I119" s="4">
        <v>1</v>
      </c>
      <c r="J119" s="7">
        <f>IF(OR($I119="",$D119=""),"",IFERROR(IF(VLOOKUP($I119,Sessions!$A$2:$W$21,13,FALSE)="","",VLOOKUP($I119,Sessions!$A$2:$W$21,13,FALSE)),""))</f>
        <v>1</v>
      </c>
      <c r="K119" s="7">
        <f>IF(OR($I119="",$D119=""),"",IFERROR(IF(VLOOKUP($I119,Sessions!$A$2:$W$21,20,FALSE)="","",VLOOKUP($I119,Sessions!$A$2:$W$21,20,FALSE)),""))</f>
        <v>1</v>
      </c>
      <c r="L119" s="3"/>
      <c r="M119" s="3"/>
      <c r="N119" s="3"/>
      <c r="O119" s="3"/>
      <c r="P119" s="4"/>
    </row>
    <row r="120" spans="1:16" ht="23.1" customHeight="1">
      <c r="A120" s="3">
        <v>119</v>
      </c>
      <c r="B120" s="5">
        <v>184</v>
      </c>
      <c r="C120" s="4" t="s">
        <v>82</v>
      </c>
      <c r="D120" s="6">
        <v>0.999</v>
      </c>
      <c r="E120" s="8">
        <f>IF(OR($I120="",$D120=""),"",IFERROR(IF(VLOOKUP($I120,Sessions!$A$2:$W$21,2,FALSE)="","",VLOOKUP($I120,Sessions!$A$2:$W$21,2,FALSE)),""))</f>
        <v>46268</v>
      </c>
      <c r="F120" s="9">
        <v>0.7631944444444444</v>
      </c>
      <c r="G120" s="3" t="str">
        <f>IF(OR($I120="",$D120=""),"",IFERROR(IF(VLOOKUP($I120,Sessions!$A$2:$W$21,5,FALSE)="","",VLOOKUP($I120,Sessions!$A$2:$W$21,5,FALSE)),""))</f>
        <v>Timmy D. Bell</v>
      </c>
      <c r="H120" s="3" t="s">
        <v>18</v>
      </c>
      <c r="I120" s="4">
        <v>1</v>
      </c>
      <c r="J120" s="7">
        <f>IF(OR($I120="",$D120=""),"",IFERROR(IF(VLOOKUP($I120,Sessions!$A$2:$W$21,13,FALSE)="","",VLOOKUP($I120,Sessions!$A$2:$W$21,13,FALSE)),""))</f>
        <v>1</v>
      </c>
      <c r="K120" s="7">
        <f>IF(OR($I120="",$D120=""),"",IFERROR(IF(VLOOKUP($I120,Sessions!$A$2:$W$21,20,FALSE)="","",VLOOKUP($I120,Sessions!$A$2:$W$21,20,FALSE)),""))</f>
        <v>1</v>
      </c>
      <c r="L120" s="3"/>
      <c r="M120" s="3"/>
      <c r="N120" s="3"/>
      <c r="O120" s="3"/>
      <c r="P120" s="4"/>
    </row>
    <row r="121" spans="1:16" ht="23.1" customHeight="1">
      <c r="A121" s="3">
        <v>120</v>
      </c>
      <c r="B121" s="5">
        <v>137</v>
      </c>
      <c r="C121" s="4" t="s">
        <v>82</v>
      </c>
      <c r="D121" s="6">
        <v>0.99950000000000006</v>
      </c>
      <c r="E121" s="8">
        <f>IF(OR($I121="",$D121=""),"",IFERROR(IF(VLOOKUP($I121,Sessions!$A$2:$W$21,2,FALSE)="","",VLOOKUP($I121,Sessions!$A$2:$W$21,2,FALSE)),""))</f>
        <v>46268</v>
      </c>
      <c r="F121" s="9">
        <v>0.76388888888888884</v>
      </c>
      <c r="G121" s="3" t="str">
        <f>IF(OR($I121="",$D121=""),"",IFERROR(IF(VLOOKUP($I121,Sessions!$A$2:$W$21,5,FALSE)="","",VLOOKUP($I121,Sessions!$A$2:$W$21,5,FALSE)),""))</f>
        <v>Timmy D. Bell</v>
      </c>
      <c r="H121" s="3" t="s">
        <v>18</v>
      </c>
      <c r="I121" s="4">
        <v>1</v>
      </c>
      <c r="J121" s="7">
        <f>IF(OR($I121="",$D121=""),"",IFERROR(IF(VLOOKUP($I121,Sessions!$A$2:$W$21,13,FALSE)="","",VLOOKUP($I121,Sessions!$A$2:$W$21,13,FALSE)),""))</f>
        <v>1</v>
      </c>
      <c r="K121" s="7">
        <f>IF(OR($I121="",$D121=""),"",IFERROR(IF(VLOOKUP($I121,Sessions!$A$2:$W$21,20,FALSE)="","",VLOOKUP($I121,Sessions!$A$2:$W$21,20,FALSE)),""))</f>
        <v>1</v>
      </c>
      <c r="L121" s="3"/>
      <c r="M121" s="3"/>
      <c r="N121" s="3"/>
      <c r="O121" s="3"/>
      <c r="P121" s="4"/>
    </row>
    <row r="122" spans="1:16" ht="23.1" customHeight="1">
      <c r="A122" s="3">
        <v>121</v>
      </c>
      <c r="B122" s="5">
        <v>155</v>
      </c>
      <c r="C122" s="4" t="s">
        <v>82</v>
      </c>
      <c r="D122" s="6">
        <v>1.0009999999999999</v>
      </c>
      <c r="E122" s="8">
        <f>IF(OR($I122="",$D122=""),"",IFERROR(IF(VLOOKUP($I122,Sessions!$A$2:$W$21,2,FALSE)="","",VLOOKUP($I122,Sessions!$A$2:$W$21,2,FALSE)),""))</f>
        <v>46268</v>
      </c>
      <c r="F122" s="9">
        <v>0.76388888888888884</v>
      </c>
      <c r="G122" s="3" t="str">
        <f>IF(OR($I122="",$D122=""),"",IFERROR(IF(VLOOKUP($I122,Sessions!$A$2:$W$21,5,FALSE)="","",VLOOKUP($I122,Sessions!$A$2:$W$21,5,FALSE)),""))</f>
        <v>Timmy D. Bell</v>
      </c>
      <c r="H122" s="3" t="s">
        <v>18</v>
      </c>
      <c r="I122" s="4">
        <v>1</v>
      </c>
      <c r="J122" s="7">
        <f>IF(OR($I122="",$D122=""),"",IFERROR(IF(VLOOKUP($I122,Sessions!$A$2:$W$21,13,FALSE)="","",VLOOKUP($I122,Sessions!$A$2:$W$21,13,FALSE)),""))</f>
        <v>1</v>
      </c>
      <c r="K122" s="7">
        <f>IF(OR($I122="",$D122=""),"",IFERROR(IF(VLOOKUP($I122,Sessions!$A$2:$W$21,20,FALSE)="","",VLOOKUP($I122,Sessions!$A$2:$W$21,20,FALSE)),""))</f>
        <v>1</v>
      </c>
      <c r="L122" s="3"/>
      <c r="M122" s="3"/>
      <c r="N122" s="3"/>
      <c r="O122" s="3"/>
      <c r="P122" s="4"/>
    </row>
    <row r="123" spans="1:16" ht="23.1" customHeight="1">
      <c r="A123" s="3">
        <v>122</v>
      </c>
      <c r="B123" s="5">
        <v>134</v>
      </c>
      <c r="C123" s="4" t="s">
        <v>82</v>
      </c>
      <c r="D123" s="6">
        <v>0.99950000000000006</v>
      </c>
      <c r="E123" s="8">
        <f>IF(OR($I123="",$D123=""),"",IFERROR(IF(VLOOKUP($I123,Sessions!$A$2:$W$21,2,FALSE)="","",VLOOKUP($I123,Sessions!$A$2:$W$21,2,FALSE)),""))</f>
        <v>46268</v>
      </c>
      <c r="F123" s="9">
        <v>0.76388888888888884</v>
      </c>
      <c r="G123" s="3" t="str">
        <f>IF(OR($I123="",$D123=""),"",IFERROR(IF(VLOOKUP($I123,Sessions!$A$2:$W$21,5,FALSE)="","",VLOOKUP($I123,Sessions!$A$2:$W$21,5,FALSE)),""))</f>
        <v>Timmy D. Bell</v>
      </c>
      <c r="H123" s="3" t="s">
        <v>18</v>
      </c>
      <c r="I123" s="4">
        <v>1</v>
      </c>
      <c r="J123" s="7">
        <f>IF(OR($I123="",$D123=""),"",IFERROR(IF(VLOOKUP($I123,Sessions!$A$2:$W$21,13,FALSE)="","",VLOOKUP($I123,Sessions!$A$2:$W$21,13,FALSE)),""))</f>
        <v>1</v>
      </c>
      <c r="K123" s="7">
        <f>IF(OR($I123="",$D123=""),"",IFERROR(IF(VLOOKUP($I123,Sessions!$A$2:$W$21,20,FALSE)="","",VLOOKUP($I123,Sessions!$A$2:$W$21,20,FALSE)),""))</f>
        <v>1</v>
      </c>
      <c r="L123" s="3"/>
      <c r="M123" s="3"/>
      <c r="N123" s="3"/>
      <c r="O123" s="3"/>
      <c r="P123" s="4"/>
    </row>
    <row r="124" spans="1:16" ht="23.1" customHeight="1">
      <c r="A124" s="3">
        <v>123</v>
      </c>
      <c r="B124" s="5">
        <v>224</v>
      </c>
      <c r="C124" s="4" t="s">
        <v>82</v>
      </c>
      <c r="D124" s="6">
        <v>1.0024999999999999</v>
      </c>
      <c r="E124" s="8">
        <f>IF(OR($I124="",$D124=""),"",IFERROR(IF(VLOOKUP($I124,Sessions!$A$2:$W$21,2,FALSE)="","",VLOOKUP($I124,Sessions!$A$2:$W$21,2,FALSE)),""))</f>
        <v>46268</v>
      </c>
      <c r="F124" s="9">
        <v>0.76458333333333328</v>
      </c>
      <c r="G124" s="3" t="str">
        <f>IF(OR($I124="",$D124=""),"",IFERROR(IF(VLOOKUP($I124,Sessions!$A$2:$W$21,5,FALSE)="","",VLOOKUP($I124,Sessions!$A$2:$W$21,5,FALSE)),""))</f>
        <v>Timmy D. Bell</v>
      </c>
      <c r="H124" s="3" t="s">
        <v>18</v>
      </c>
      <c r="I124" s="4">
        <v>1</v>
      </c>
      <c r="J124" s="7">
        <f>IF(OR($I124="",$D124=""),"",IFERROR(IF(VLOOKUP($I124,Sessions!$A$2:$W$21,13,FALSE)="","",VLOOKUP($I124,Sessions!$A$2:$W$21,13,FALSE)),""))</f>
        <v>1</v>
      </c>
      <c r="K124" s="7">
        <f>IF(OR($I124="",$D124=""),"",IFERROR(IF(VLOOKUP($I124,Sessions!$A$2:$W$21,20,FALSE)="","",VLOOKUP($I124,Sessions!$A$2:$W$21,20,FALSE)),""))</f>
        <v>1</v>
      </c>
      <c r="L124" s="3"/>
      <c r="M124" s="3"/>
      <c r="N124" s="3"/>
      <c r="O124" s="3"/>
      <c r="P124" s="4"/>
    </row>
    <row r="125" spans="1:16" ht="23.1" customHeight="1">
      <c r="A125" s="3">
        <v>124</v>
      </c>
      <c r="B125" s="5">
        <v>61</v>
      </c>
      <c r="C125" s="4" t="s">
        <v>82</v>
      </c>
      <c r="D125" s="6">
        <v>0.99199999999999999</v>
      </c>
      <c r="E125" s="8">
        <f>IF(OR($I125="",$D125=""),"",IFERROR(IF(VLOOKUP($I125,Sessions!$A$2:$W$21,2,FALSE)="","",VLOOKUP($I125,Sessions!$A$2:$W$21,2,FALSE)),""))</f>
        <v>46268</v>
      </c>
      <c r="F125" s="9">
        <v>0.76458333333333328</v>
      </c>
      <c r="G125" s="3" t="str">
        <f>IF(OR($I125="",$D125=""),"",IFERROR(IF(VLOOKUP($I125,Sessions!$A$2:$W$21,5,FALSE)="","",VLOOKUP($I125,Sessions!$A$2:$W$21,5,FALSE)),""))</f>
        <v>Timmy D. Bell</v>
      </c>
      <c r="H125" s="3" t="s">
        <v>18</v>
      </c>
      <c r="I125" s="4">
        <v>1</v>
      </c>
      <c r="J125" s="7">
        <f>IF(OR($I125="",$D125=""),"",IFERROR(IF(VLOOKUP($I125,Sessions!$A$2:$W$21,13,FALSE)="","",VLOOKUP($I125,Sessions!$A$2:$W$21,13,FALSE)),""))</f>
        <v>1</v>
      </c>
      <c r="K125" s="7">
        <f>IF(OR($I125="",$D125=""),"",IFERROR(IF(VLOOKUP($I125,Sessions!$A$2:$W$21,20,FALSE)="","",VLOOKUP($I125,Sessions!$A$2:$W$21,20,FALSE)),""))</f>
        <v>1</v>
      </c>
      <c r="L125" s="3"/>
      <c r="M125" s="3"/>
      <c r="N125" s="3"/>
      <c r="O125" s="3"/>
      <c r="P125" s="4"/>
    </row>
    <row r="126" spans="1:16" ht="23.1" customHeight="1">
      <c r="A126" s="3">
        <v>125</v>
      </c>
      <c r="B126" s="5">
        <v>32</v>
      </c>
      <c r="C126" s="4" t="s">
        <v>82</v>
      </c>
      <c r="D126" s="6">
        <v>1.0015000000000001</v>
      </c>
      <c r="E126" s="8">
        <f>IF(OR($I126="",$D126=""),"",IFERROR(IF(VLOOKUP($I126,Sessions!$A$2:$W$21,2,FALSE)="","",VLOOKUP($I126,Sessions!$A$2:$W$21,2,FALSE)),""))</f>
        <v>46268</v>
      </c>
      <c r="F126" s="9">
        <v>0.76458333333333328</v>
      </c>
      <c r="G126" s="3" t="str">
        <f>IF(OR($I126="",$D126=""),"",IFERROR(IF(VLOOKUP($I126,Sessions!$A$2:$W$21,5,FALSE)="","",VLOOKUP($I126,Sessions!$A$2:$W$21,5,FALSE)),""))</f>
        <v>Timmy D. Bell</v>
      </c>
      <c r="H126" s="3" t="s">
        <v>18</v>
      </c>
      <c r="I126" s="4">
        <v>1</v>
      </c>
      <c r="J126" s="7">
        <f>IF(OR($I126="",$D126=""),"",IFERROR(IF(VLOOKUP($I126,Sessions!$A$2:$W$21,13,FALSE)="","",VLOOKUP($I126,Sessions!$A$2:$W$21,13,FALSE)),""))</f>
        <v>1</v>
      </c>
      <c r="K126" s="7">
        <f>IF(OR($I126="",$D126=""),"",IFERROR(IF(VLOOKUP($I126,Sessions!$A$2:$W$21,20,FALSE)="","",VLOOKUP($I126,Sessions!$A$2:$W$21,20,FALSE)),""))</f>
        <v>1</v>
      </c>
      <c r="L126" s="3"/>
      <c r="M126" s="3"/>
      <c r="N126" s="3"/>
      <c r="O126" s="3"/>
      <c r="P126" s="4"/>
    </row>
    <row r="127" spans="1:16" ht="23.1" customHeight="1">
      <c r="A127" s="3">
        <v>126</v>
      </c>
      <c r="B127" s="5">
        <v>223</v>
      </c>
      <c r="C127" s="4" t="s">
        <v>82</v>
      </c>
      <c r="D127" s="6">
        <v>1</v>
      </c>
      <c r="E127" s="8">
        <f>IF(OR($I127="",$D127=""),"",IFERROR(IF(VLOOKUP($I127,Sessions!$A$2:$W$21,2,FALSE)="","",VLOOKUP($I127,Sessions!$A$2:$W$21,2,FALSE)),""))</f>
        <v>46268</v>
      </c>
      <c r="F127" s="9">
        <v>0.76458333333333328</v>
      </c>
      <c r="G127" s="3" t="str">
        <f>IF(OR($I127="",$D127=""),"",IFERROR(IF(VLOOKUP($I127,Sessions!$A$2:$W$21,5,FALSE)="","",VLOOKUP($I127,Sessions!$A$2:$W$21,5,FALSE)),""))</f>
        <v>Timmy D. Bell</v>
      </c>
      <c r="H127" s="3" t="s">
        <v>18</v>
      </c>
      <c r="I127" s="4">
        <v>1</v>
      </c>
      <c r="J127" s="7">
        <f>IF(OR($I127="",$D127=""),"",IFERROR(IF(VLOOKUP($I127,Sessions!$A$2:$W$21,13,FALSE)="","",VLOOKUP($I127,Sessions!$A$2:$W$21,13,FALSE)),""))</f>
        <v>1</v>
      </c>
      <c r="K127" s="7">
        <f>IF(OR($I127="",$D127=""),"",IFERROR(IF(VLOOKUP($I127,Sessions!$A$2:$W$21,20,FALSE)="","",VLOOKUP($I127,Sessions!$A$2:$W$21,20,FALSE)),""))</f>
        <v>1</v>
      </c>
      <c r="L127" s="3"/>
      <c r="M127" s="3"/>
      <c r="N127" s="3"/>
      <c r="O127" s="3"/>
      <c r="P127" s="4"/>
    </row>
    <row r="128" spans="1:16" ht="23.1" customHeight="1">
      <c r="A128" s="3">
        <v>127</v>
      </c>
      <c r="B128" s="5">
        <v>216</v>
      </c>
      <c r="C128" s="4" t="s">
        <v>82</v>
      </c>
      <c r="D128" s="6">
        <v>0.99399999999999999</v>
      </c>
      <c r="E128" s="8">
        <f>IF(OR($I128="",$D128=""),"",IFERROR(IF(VLOOKUP($I128,Sessions!$A$2:$W$21,2,FALSE)="","",VLOOKUP($I128,Sessions!$A$2:$W$21,2,FALSE)),""))</f>
        <v>46268</v>
      </c>
      <c r="F128" s="9">
        <v>0.76527777777777772</v>
      </c>
      <c r="G128" s="3" t="str">
        <f>IF(OR($I128="",$D128=""),"",IFERROR(IF(VLOOKUP($I128,Sessions!$A$2:$W$21,5,FALSE)="","",VLOOKUP($I128,Sessions!$A$2:$W$21,5,FALSE)),""))</f>
        <v>Timmy D. Bell</v>
      </c>
      <c r="H128" s="3" t="s">
        <v>18</v>
      </c>
      <c r="I128" s="4">
        <v>1</v>
      </c>
      <c r="J128" s="7">
        <f>IF(OR($I128="",$D128=""),"",IFERROR(IF(VLOOKUP($I128,Sessions!$A$2:$W$21,13,FALSE)="","",VLOOKUP($I128,Sessions!$A$2:$W$21,13,FALSE)),""))</f>
        <v>1</v>
      </c>
      <c r="K128" s="7">
        <f>IF(OR($I128="",$D128=""),"",IFERROR(IF(VLOOKUP($I128,Sessions!$A$2:$W$21,20,FALSE)="","",VLOOKUP($I128,Sessions!$A$2:$W$21,20,FALSE)),""))</f>
        <v>1</v>
      </c>
      <c r="L128" s="3"/>
      <c r="M128" s="3"/>
      <c r="N128" s="3"/>
      <c r="O128" s="3"/>
      <c r="P128" s="4"/>
    </row>
    <row r="129" spans="1:16" ht="23.1" customHeight="1">
      <c r="A129" s="3">
        <v>128</v>
      </c>
      <c r="B129" s="5">
        <v>228</v>
      </c>
      <c r="C129" s="4" t="s">
        <v>82</v>
      </c>
      <c r="D129" s="6">
        <v>0.99399999999999999</v>
      </c>
      <c r="E129" s="8">
        <f>IF(OR($I129="",$D129=""),"",IFERROR(IF(VLOOKUP($I129,Sessions!$A$2:$W$21,2,FALSE)="","",VLOOKUP($I129,Sessions!$A$2:$W$21,2,FALSE)),""))</f>
        <v>46268</v>
      </c>
      <c r="F129" s="9">
        <v>0.76527777777777772</v>
      </c>
      <c r="G129" s="3" t="str">
        <f>IF(OR($I129="",$D129=""),"",IFERROR(IF(VLOOKUP($I129,Sessions!$A$2:$W$21,5,FALSE)="","",VLOOKUP($I129,Sessions!$A$2:$W$21,5,FALSE)),""))</f>
        <v>Timmy D. Bell</v>
      </c>
      <c r="H129" s="3" t="s">
        <v>18</v>
      </c>
      <c r="I129" s="4">
        <v>1</v>
      </c>
      <c r="J129" s="7">
        <f>IF(OR($I129="",$D129=""),"",IFERROR(IF(VLOOKUP($I129,Sessions!$A$2:$W$21,13,FALSE)="","",VLOOKUP($I129,Sessions!$A$2:$W$21,13,FALSE)),""))</f>
        <v>1</v>
      </c>
      <c r="K129" s="7">
        <f>IF(OR($I129="",$D129=""),"",IFERROR(IF(VLOOKUP($I129,Sessions!$A$2:$W$21,20,FALSE)="","",VLOOKUP($I129,Sessions!$A$2:$W$21,20,FALSE)),""))</f>
        <v>1</v>
      </c>
      <c r="L129" s="3"/>
      <c r="M129" s="3"/>
      <c r="N129" s="3"/>
      <c r="O129" s="3"/>
      <c r="P129" s="4"/>
    </row>
    <row r="130" spans="1:16" ht="23.1" customHeight="1">
      <c r="A130" s="3">
        <v>129</v>
      </c>
      <c r="B130" s="5">
        <v>12</v>
      </c>
      <c r="C130" s="4" t="s">
        <v>82</v>
      </c>
      <c r="D130" s="6">
        <v>0.99850000000000005</v>
      </c>
      <c r="E130" s="8">
        <f>IF(OR($I130="",$D130=""),"",IFERROR(IF(VLOOKUP($I130,Sessions!$A$2:$W$21,2,FALSE)="","",VLOOKUP($I130,Sessions!$A$2:$W$21,2,FALSE)),""))</f>
        <v>46268</v>
      </c>
      <c r="F130" s="9">
        <v>0.76527777777777772</v>
      </c>
      <c r="G130" s="3" t="str">
        <f>IF(OR($I130="",$D130=""),"",IFERROR(IF(VLOOKUP($I130,Sessions!$A$2:$W$21,5,FALSE)="","",VLOOKUP($I130,Sessions!$A$2:$W$21,5,FALSE)),""))</f>
        <v>Timmy D. Bell</v>
      </c>
      <c r="H130" s="3" t="s">
        <v>18</v>
      </c>
      <c r="I130" s="4">
        <v>1</v>
      </c>
      <c r="J130" s="7">
        <f>IF(OR($I130="",$D130=""),"",IFERROR(IF(VLOOKUP($I130,Sessions!$A$2:$W$21,13,FALSE)="","",VLOOKUP($I130,Sessions!$A$2:$W$21,13,FALSE)),""))</f>
        <v>1</v>
      </c>
      <c r="K130" s="7">
        <f>IF(OR($I130="",$D130=""),"",IFERROR(IF(VLOOKUP($I130,Sessions!$A$2:$W$21,20,FALSE)="","",VLOOKUP($I130,Sessions!$A$2:$W$21,20,FALSE)),""))</f>
        <v>1</v>
      </c>
      <c r="L130" s="3"/>
      <c r="M130" s="3"/>
      <c r="N130" s="3"/>
      <c r="O130" s="3"/>
      <c r="P130" s="4"/>
    </row>
    <row r="131" spans="1:16" ht="23.1" customHeight="1">
      <c r="A131" s="3">
        <v>130</v>
      </c>
      <c r="B131" s="5">
        <v>161</v>
      </c>
      <c r="C131" s="4" t="s">
        <v>82</v>
      </c>
      <c r="D131" s="6">
        <v>1.0024999999999999</v>
      </c>
      <c r="E131" s="8">
        <f>IF(OR($I131="",$D131=""),"",IFERROR(IF(VLOOKUP($I131,Sessions!$A$2:$W$21,2,FALSE)="","",VLOOKUP($I131,Sessions!$A$2:$W$21,2,FALSE)),""))</f>
        <v>46268</v>
      </c>
      <c r="F131" s="9">
        <v>0.76597222222222228</v>
      </c>
      <c r="G131" s="3" t="str">
        <f>IF(OR($I131="",$D131=""),"",IFERROR(IF(VLOOKUP($I131,Sessions!$A$2:$W$21,5,FALSE)="","",VLOOKUP($I131,Sessions!$A$2:$W$21,5,FALSE)),""))</f>
        <v>Timmy D. Bell</v>
      </c>
      <c r="H131" s="3" t="s">
        <v>18</v>
      </c>
      <c r="I131" s="4">
        <v>1</v>
      </c>
      <c r="J131" s="7">
        <f>IF(OR($I131="",$D131=""),"",IFERROR(IF(VLOOKUP($I131,Sessions!$A$2:$W$21,13,FALSE)="","",VLOOKUP($I131,Sessions!$A$2:$W$21,13,FALSE)),""))</f>
        <v>1</v>
      </c>
      <c r="K131" s="7">
        <f>IF(OR($I131="",$D131=""),"",IFERROR(IF(VLOOKUP($I131,Sessions!$A$2:$W$21,20,FALSE)="","",VLOOKUP($I131,Sessions!$A$2:$W$21,20,FALSE)),""))</f>
        <v>1</v>
      </c>
      <c r="L131" s="3"/>
      <c r="M131" s="3"/>
      <c r="N131" s="3"/>
      <c r="O131" s="3"/>
      <c r="P131" s="4"/>
    </row>
    <row r="132" spans="1:16" ht="23.1" customHeight="1">
      <c r="A132" s="3">
        <v>131</v>
      </c>
      <c r="B132" s="5">
        <v>92</v>
      </c>
      <c r="C132" s="4" t="s">
        <v>82</v>
      </c>
      <c r="D132" s="6">
        <v>0.99950000000000006</v>
      </c>
      <c r="E132" s="8">
        <f>IF(OR($I132="",$D132=""),"",IFERROR(IF(VLOOKUP($I132,Sessions!$A$2:$W$21,2,FALSE)="","",VLOOKUP($I132,Sessions!$A$2:$W$21,2,FALSE)),""))</f>
        <v>46268</v>
      </c>
      <c r="F132" s="9">
        <v>0.76597222222222228</v>
      </c>
      <c r="G132" s="3" t="str">
        <f>IF(OR($I132="",$D132=""),"",IFERROR(IF(VLOOKUP($I132,Sessions!$A$2:$W$21,5,FALSE)="","",VLOOKUP($I132,Sessions!$A$2:$W$21,5,FALSE)),""))</f>
        <v>Timmy D. Bell</v>
      </c>
      <c r="H132" s="3" t="s">
        <v>18</v>
      </c>
      <c r="I132" s="4">
        <v>1</v>
      </c>
      <c r="J132" s="7">
        <f>IF(OR($I132="",$D132=""),"",IFERROR(IF(VLOOKUP($I132,Sessions!$A$2:$W$21,13,FALSE)="","",VLOOKUP($I132,Sessions!$A$2:$W$21,13,FALSE)),""))</f>
        <v>1</v>
      </c>
      <c r="K132" s="7">
        <f>IF(OR($I132="",$D132=""),"",IFERROR(IF(VLOOKUP($I132,Sessions!$A$2:$W$21,20,FALSE)="","",VLOOKUP($I132,Sessions!$A$2:$W$21,20,FALSE)),""))</f>
        <v>1</v>
      </c>
      <c r="L132" s="3"/>
      <c r="M132" s="3"/>
      <c r="N132" s="3"/>
      <c r="O132" s="3"/>
      <c r="P132" s="4"/>
    </row>
    <row r="133" spans="1:16" ht="23.1" customHeight="1">
      <c r="A133" s="3">
        <v>132</v>
      </c>
      <c r="B133" s="5">
        <v>33</v>
      </c>
      <c r="C133" s="4" t="s">
        <v>82</v>
      </c>
      <c r="D133" s="6">
        <v>1</v>
      </c>
      <c r="E133" s="8">
        <f>IF(OR($I133="",$D133=""),"",IFERROR(IF(VLOOKUP($I133,Sessions!$A$2:$W$21,2,FALSE)="","",VLOOKUP($I133,Sessions!$A$2:$W$21,2,FALSE)),""))</f>
        <v>46268</v>
      </c>
      <c r="F133" s="9">
        <v>0.76597222222222228</v>
      </c>
      <c r="G133" s="3" t="str">
        <f>IF(OR($I133="",$D133=""),"",IFERROR(IF(VLOOKUP($I133,Sessions!$A$2:$W$21,5,FALSE)="","",VLOOKUP($I133,Sessions!$A$2:$W$21,5,FALSE)),""))</f>
        <v>Timmy D. Bell</v>
      </c>
      <c r="H133" s="3" t="s">
        <v>18</v>
      </c>
      <c r="I133" s="4">
        <v>1</v>
      </c>
      <c r="J133" s="7">
        <f>IF(OR($I133="",$D133=""),"",IFERROR(IF(VLOOKUP($I133,Sessions!$A$2:$W$21,13,FALSE)="","",VLOOKUP($I133,Sessions!$A$2:$W$21,13,FALSE)),""))</f>
        <v>1</v>
      </c>
      <c r="K133" s="7">
        <f>IF(OR($I133="",$D133=""),"",IFERROR(IF(VLOOKUP($I133,Sessions!$A$2:$W$21,20,FALSE)="","",VLOOKUP($I133,Sessions!$A$2:$W$21,20,FALSE)),""))</f>
        <v>1</v>
      </c>
      <c r="L133" s="3"/>
      <c r="M133" s="3"/>
      <c r="N133" s="3"/>
      <c r="O133" s="3"/>
      <c r="P133" s="4"/>
    </row>
    <row r="134" spans="1:16" ht="23.1" customHeight="1">
      <c r="A134" s="3">
        <v>133</v>
      </c>
      <c r="B134" s="5">
        <v>176</v>
      </c>
      <c r="C134" s="4" t="s">
        <v>82</v>
      </c>
      <c r="D134" s="6">
        <v>1.0125</v>
      </c>
      <c r="E134" s="8">
        <f>IF(OR($I134="",$D134=""),"",IFERROR(IF(VLOOKUP($I134,Sessions!$A$2:$W$21,2,FALSE)="","",VLOOKUP($I134,Sessions!$A$2:$W$21,2,FALSE)),""))</f>
        <v>46268</v>
      </c>
      <c r="F134" s="9">
        <v>0.76666666666666672</v>
      </c>
      <c r="G134" s="3" t="str">
        <f>IF(OR($I134="",$D134=""),"",IFERROR(IF(VLOOKUP($I134,Sessions!$A$2:$W$21,5,FALSE)="","",VLOOKUP($I134,Sessions!$A$2:$W$21,5,FALSE)),""))</f>
        <v>Timmy D. Bell</v>
      </c>
      <c r="H134" s="3" t="s">
        <v>18</v>
      </c>
      <c r="I134" s="4">
        <v>1</v>
      </c>
      <c r="J134" s="7">
        <f>IF(OR($I134="",$D134=""),"",IFERROR(IF(VLOOKUP($I134,Sessions!$A$2:$W$21,13,FALSE)="","",VLOOKUP($I134,Sessions!$A$2:$W$21,13,FALSE)),""))</f>
        <v>1</v>
      </c>
      <c r="K134" s="7">
        <f>IF(OR($I134="",$D134=""),"",IFERROR(IF(VLOOKUP($I134,Sessions!$A$2:$W$21,20,FALSE)="","",VLOOKUP($I134,Sessions!$A$2:$W$21,20,FALSE)),""))</f>
        <v>1</v>
      </c>
      <c r="L134" s="3"/>
      <c r="M134" s="3"/>
      <c r="N134" s="3"/>
      <c r="O134" s="3"/>
      <c r="P134" s="4"/>
    </row>
    <row r="135" spans="1:16" ht="23.1" customHeight="1">
      <c r="A135" s="3">
        <v>134</v>
      </c>
      <c r="B135" s="5">
        <v>173</v>
      </c>
      <c r="C135" s="4" t="s">
        <v>82</v>
      </c>
      <c r="D135" s="6">
        <v>0.998</v>
      </c>
      <c r="E135" s="8">
        <f>IF(OR($I135="",$D135=""),"",IFERROR(IF(VLOOKUP($I135,Sessions!$A$2:$W$21,2,FALSE)="","",VLOOKUP($I135,Sessions!$A$2:$W$21,2,FALSE)),""))</f>
        <v>46268</v>
      </c>
      <c r="F135" s="9">
        <v>0.76666666666666672</v>
      </c>
      <c r="G135" s="3" t="str">
        <f>IF(OR($I135="",$D135=""),"",IFERROR(IF(VLOOKUP($I135,Sessions!$A$2:$W$21,5,FALSE)="","",VLOOKUP($I135,Sessions!$A$2:$W$21,5,FALSE)),""))</f>
        <v>Timmy D. Bell</v>
      </c>
      <c r="H135" s="3" t="s">
        <v>18</v>
      </c>
      <c r="I135" s="4">
        <v>1</v>
      </c>
      <c r="J135" s="7">
        <f>IF(OR($I135="",$D135=""),"",IFERROR(IF(VLOOKUP($I135,Sessions!$A$2:$W$21,13,FALSE)="","",VLOOKUP($I135,Sessions!$A$2:$W$21,13,FALSE)),""))</f>
        <v>1</v>
      </c>
      <c r="K135" s="7">
        <f>IF(OR($I135="",$D135=""),"",IFERROR(IF(VLOOKUP($I135,Sessions!$A$2:$W$21,20,FALSE)="","",VLOOKUP($I135,Sessions!$A$2:$W$21,20,FALSE)),""))</f>
        <v>1</v>
      </c>
      <c r="L135" s="3"/>
      <c r="M135" s="3"/>
      <c r="N135" s="3"/>
      <c r="O135" s="3"/>
      <c r="P135" s="4"/>
    </row>
    <row r="136" spans="1:16" ht="23.1" customHeight="1">
      <c r="A136" s="3">
        <v>135</v>
      </c>
      <c r="B136" s="5">
        <v>90</v>
      </c>
      <c r="C136" s="4" t="s">
        <v>82</v>
      </c>
      <c r="D136" s="6">
        <v>0.99850000000000005</v>
      </c>
      <c r="E136" s="8">
        <f>IF(OR($I136="",$D136=""),"",IFERROR(IF(VLOOKUP($I136,Sessions!$A$2:$W$21,2,FALSE)="","",VLOOKUP($I136,Sessions!$A$2:$W$21,2,FALSE)),""))</f>
        <v>46268</v>
      </c>
      <c r="F136" s="9">
        <v>0.76666666666666672</v>
      </c>
      <c r="G136" s="3" t="str">
        <f>IF(OR($I136="",$D136=""),"",IFERROR(IF(VLOOKUP($I136,Sessions!$A$2:$W$21,5,FALSE)="","",VLOOKUP($I136,Sessions!$A$2:$W$21,5,FALSE)),""))</f>
        <v>Timmy D. Bell</v>
      </c>
      <c r="H136" s="3" t="s">
        <v>18</v>
      </c>
      <c r="I136" s="4">
        <v>1</v>
      </c>
      <c r="J136" s="7">
        <f>IF(OR($I136="",$D136=""),"",IFERROR(IF(VLOOKUP($I136,Sessions!$A$2:$W$21,13,FALSE)="","",VLOOKUP($I136,Sessions!$A$2:$W$21,13,FALSE)),""))</f>
        <v>1</v>
      </c>
      <c r="K136" s="7">
        <f>IF(OR($I136="",$D136=""),"",IFERROR(IF(VLOOKUP($I136,Sessions!$A$2:$W$21,20,FALSE)="","",VLOOKUP($I136,Sessions!$A$2:$W$21,20,FALSE)),""))</f>
        <v>1</v>
      </c>
      <c r="L136" s="3"/>
      <c r="M136" s="3"/>
      <c r="N136" s="3"/>
      <c r="O136" s="3"/>
      <c r="P136" s="4"/>
    </row>
    <row r="137" spans="1:16" ht="23.1" customHeight="1">
      <c r="A137" s="3">
        <v>136</v>
      </c>
      <c r="B137" s="5">
        <v>50</v>
      </c>
      <c r="C137" s="4" t="s">
        <v>82</v>
      </c>
      <c r="D137" s="6">
        <v>1.0089999999999999</v>
      </c>
      <c r="E137" s="8">
        <f>IF(OR($I137="",$D137=""),"",IFERROR(IF(VLOOKUP($I137,Sessions!$A$2:$W$21,2,FALSE)="","",VLOOKUP($I137,Sessions!$A$2:$W$21,2,FALSE)),""))</f>
        <v>46268</v>
      </c>
      <c r="F137" s="9">
        <v>0.76736111111111116</v>
      </c>
      <c r="G137" s="3" t="str">
        <f>IF(OR($I137="",$D137=""),"",IFERROR(IF(VLOOKUP($I137,Sessions!$A$2:$W$21,5,FALSE)="","",VLOOKUP($I137,Sessions!$A$2:$W$21,5,FALSE)),""))</f>
        <v>Timmy D. Bell</v>
      </c>
      <c r="H137" s="3" t="s">
        <v>18</v>
      </c>
      <c r="I137" s="4">
        <v>1</v>
      </c>
      <c r="J137" s="7">
        <f>IF(OR($I137="",$D137=""),"",IFERROR(IF(VLOOKUP($I137,Sessions!$A$2:$W$21,13,FALSE)="","",VLOOKUP($I137,Sessions!$A$2:$W$21,13,FALSE)),""))</f>
        <v>1</v>
      </c>
      <c r="K137" s="7">
        <f>IF(OR($I137="",$D137=""),"",IFERROR(IF(VLOOKUP($I137,Sessions!$A$2:$W$21,20,FALSE)="","",VLOOKUP($I137,Sessions!$A$2:$W$21,20,FALSE)),""))</f>
        <v>1</v>
      </c>
      <c r="L137" s="3"/>
      <c r="M137" s="3"/>
      <c r="N137" s="3"/>
      <c r="O137" s="3"/>
      <c r="P137" s="4"/>
    </row>
    <row r="138" spans="1:16" ht="23.1" customHeight="1">
      <c r="A138" s="3">
        <v>137</v>
      </c>
      <c r="B138" s="5">
        <v>107</v>
      </c>
      <c r="C138" s="4" t="s">
        <v>82</v>
      </c>
      <c r="D138" s="6">
        <v>1.0009999999999999</v>
      </c>
      <c r="E138" s="8">
        <f>IF(OR($I138="",$D138=""),"",IFERROR(IF(VLOOKUP($I138,Sessions!$A$2:$W$21,2,FALSE)="","",VLOOKUP($I138,Sessions!$A$2:$W$21,2,FALSE)),""))</f>
        <v>46268</v>
      </c>
      <c r="F138" s="9">
        <v>0.76736111111111116</v>
      </c>
      <c r="G138" s="3" t="str">
        <f>IF(OR($I138="",$D138=""),"",IFERROR(IF(VLOOKUP($I138,Sessions!$A$2:$W$21,5,FALSE)="","",VLOOKUP($I138,Sessions!$A$2:$W$21,5,FALSE)),""))</f>
        <v>Timmy D. Bell</v>
      </c>
      <c r="H138" s="3" t="s">
        <v>18</v>
      </c>
      <c r="I138" s="4">
        <v>1</v>
      </c>
      <c r="J138" s="7">
        <f>IF(OR($I138="",$D138=""),"",IFERROR(IF(VLOOKUP($I138,Sessions!$A$2:$W$21,13,FALSE)="","",VLOOKUP($I138,Sessions!$A$2:$W$21,13,FALSE)),""))</f>
        <v>1</v>
      </c>
      <c r="K138" s="7">
        <f>IF(OR($I138="",$D138=""),"",IFERROR(IF(VLOOKUP($I138,Sessions!$A$2:$W$21,20,FALSE)="","",VLOOKUP($I138,Sessions!$A$2:$W$21,20,FALSE)),""))</f>
        <v>1</v>
      </c>
      <c r="L138" s="3"/>
      <c r="M138" s="3"/>
      <c r="N138" s="3"/>
      <c r="O138" s="3"/>
      <c r="P138" s="4"/>
    </row>
    <row r="139" spans="1:16" ht="23.1" customHeight="1">
      <c r="A139" s="3">
        <v>138</v>
      </c>
      <c r="B139" s="5">
        <v>160</v>
      </c>
      <c r="C139" s="4" t="s">
        <v>82</v>
      </c>
      <c r="D139" s="6">
        <v>0.99099999999999999</v>
      </c>
      <c r="E139" s="8">
        <f>IF(OR($I139="",$D139=""),"",IFERROR(IF(VLOOKUP($I139,Sessions!$A$2:$W$21,2,FALSE)="","",VLOOKUP($I139,Sessions!$A$2:$W$21,2,FALSE)),""))</f>
        <v>46268</v>
      </c>
      <c r="F139" s="9">
        <v>0.76736111111111116</v>
      </c>
      <c r="G139" s="3" t="str">
        <f>IF(OR($I139="",$D139=""),"",IFERROR(IF(VLOOKUP($I139,Sessions!$A$2:$W$21,5,FALSE)="","",VLOOKUP($I139,Sessions!$A$2:$W$21,5,FALSE)),""))</f>
        <v>Timmy D. Bell</v>
      </c>
      <c r="H139" s="3" t="s">
        <v>18</v>
      </c>
      <c r="I139" s="4">
        <v>1</v>
      </c>
      <c r="J139" s="7">
        <f>IF(OR($I139="",$D139=""),"",IFERROR(IF(VLOOKUP($I139,Sessions!$A$2:$W$21,13,FALSE)="","",VLOOKUP($I139,Sessions!$A$2:$W$21,13,FALSE)),""))</f>
        <v>1</v>
      </c>
      <c r="K139" s="7">
        <f>IF(OR($I139="",$D139=""),"",IFERROR(IF(VLOOKUP($I139,Sessions!$A$2:$W$21,20,FALSE)="","",VLOOKUP($I139,Sessions!$A$2:$W$21,20,FALSE)),""))</f>
        <v>1</v>
      </c>
      <c r="L139" s="3"/>
      <c r="M139" s="3"/>
      <c r="N139" s="3"/>
      <c r="O139" s="3"/>
      <c r="P139" s="4"/>
    </row>
    <row r="140" spans="1:16" ht="23.1" customHeight="1">
      <c r="A140" s="3">
        <v>139</v>
      </c>
      <c r="B140" s="5">
        <v>235</v>
      </c>
      <c r="C140" s="4" t="s">
        <v>82</v>
      </c>
      <c r="D140" s="6">
        <v>1.004</v>
      </c>
      <c r="E140" s="8">
        <f>IF(OR($I140="",$D140=""),"",IFERROR(IF(VLOOKUP($I140,Sessions!$A$2:$W$21,2,FALSE)="","",VLOOKUP($I140,Sessions!$A$2:$W$21,2,FALSE)),""))</f>
        <v>46268</v>
      </c>
      <c r="F140" s="9">
        <v>0.7680555555555556</v>
      </c>
      <c r="G140" s="3" t="str">
        <f>IF(OR($I140="",$D140=""),"",IFERROR(IF(VLOOKUP($I140,Sessions!$A$2:$W$21,5,FALSE)="","",VLOOKUP($I140,Sessions!$A$2:$W$21,5,FALSE)),""))</f>
        <v>Timmy D. Bell</v>
      </c>
      <c r="H140" s="3" t="s">
        <v>18</v>
      </c>
      <c r="I140" s="4">
        <v>1</v>
      </c>
      <c r="J140" s="7">
        <f>IF(OR($I140="",$D140=""),"",IFERROR(IF(VLOOKUP($I140,Sessions!$A$2:$W$21,13,FALSE)="","",VLOOKUP($I140,Sessions!$A$2:$W$21,13,FALSE)),""))</f>
        <v>1</v>
      </c>
      <c r="K140" s="7">
        <f>IF(OR($I140="",$D140=""),"",IFERROR(IF(VLOOKUP($I140,Sessions!$A$2:$W$21,20,FALSE)="","",VLOOKUP($I140,Sessions!$A$2:$W$21,20,FALSE)),""))</f>
        <v>1</v>
      </c>
      <c r="L140" s="3"/>
      <c r="M140" s="3"/>
      <c r="N140" s="3"/>
      <c r="O140" s="3"/>
      <c r="P140" s="4"/>
    </row>
    <row r="141" spans="1:16" ht="23.1" customHeight="1">
      <c r="A141" s="3">
        <v>140</v>
      </c>
      <c r="B141" s="5">
        <v>119</v>
      </c>
      <c r="C141" s="4" t="s">
        <v>82</v>
      </c>
      <c r="D141" s="6">
        <v>0.99950000000000006</v>
      </c>
      <c r="E141" s="8">
        <f>IF(OR($I141="",$D141=""),"",IFERROR(IF(VLOOKUP($I141,Sessions!$A$2:$W$21,2,FALSE)="","",VLOOKUP($I141,Sessions!$A$2:$W$21,2,FALSE)),""))</f>
        <v>46268</v>
      </c>
      <c r="F141" s="9">
        <v>0.7680555555555556</v>
      </c>
      <c r="G141" s="3" t="str">
        <f>IF(OR($I141="",$D141=""),"",IFERROR(IF(VLOOKUP($I141,Sessions!$A$2:$W$21,5,FALSE)="","",VLOOKUP($I141,Sessions!$A$2:$W$21,5,FALSE)),""))</f>
        <v>Timmy D. Bell</v>
      </c>
      <c r="H141" s="3" t="s">
        <v>18</v>
      </c>
      <c r="I141" s="4">
        <v>1</v>
      </c>
      <c r="J141" s="7">
        <f>IF(OR($I141="",$D141=""),"",IFERROR(IF(VLOOKUP($I141,Sessions!$A$2:$W$21,13,FALSE)="","",VLOOKUP($I141,Sessions!$A$2:$W$21,13,FALSE)),""))</f>
        <v>1</v>
      </c>
      <c r="K141" s="7">
        <f>IF(OR($I141="",$D141=""),"",IFERROR(IF(VLOOKUP($I141,Sessions!$A$2:$W$21,20,FALSE)="","",VLOOKUP($I141,Sessions!$A$2:$W$21,20,FALSE)),""))</f>
        <v>1</v>
      </c>
      <c r="L141" s="3"/>
      <c r="M141" s="3"/>
      <c r="N141" s="3"/>
      <c r="O141" s="3"/>
      <c r="P141" s="4"/>
    </row>
    <row r="142" spans="1:16" ht="23.1" customHeight="1">
      <c r="A142" s="3">
        <v>141</v>
      </c>
      <c r="B142" s="5">
        <v>11</v>
      </c>
      <c r="C142" s="4" t="s">
        <v>82</v>
      </c>
      <c r="D142" s="6">
        <v>1.004</v>
      </c>
      <c r="E142" s="8">
        <f>IF(OR($I142="",$D142=""),"",IFERROR(IF(VLOOKUP($I142,Sessions!$A$2:$W$21,2,FALSE)="","",VLOOKUP($I142,Sessions!$A$2:$W$21,2,FALSE)),""))</f>
        <v>46268</v>
      </c>
      <c r="F142" s="9">
        <v>0.7680555555555556</v>
      </c>
      <c r="G142" s="3" t="str">
        <f>IF(OR($I142="",$D142=""),"",IFERROR(IF(VLOOKUP($I142,Sessions!$A$2:$W$21,5,FALSE)="","",VLOOKUP($I142,Sessions!$A$2:$W$21,5,FALSE)),""))</f>
        <v>Timmy D. Bell</v>
      </c>
      <c r="H142" s="3" t="s">
        <v>18</v>
      </c>
      <c r="I142" s="4">
        <v>1</v>
      </c>
      <c r="J142" s="7">
        <f>IF(OR($I142="",$D142=""),"",IFERROR(IF(VLOOKUP($I142,Sessions!$A$2:$W$21,13,FALSE)="","",VLOOKUP($I142,Sessions!$A$2:$W$21,13,FALSE)),""))</f>
        <v>1</v>
      </c>
      <c r="K142" s="7">
        <f>IF(OR($I142="",$D142=""),"",IFERROR(IF(VLOOKUP($I142,Sessions!$A$2:$W$21,20,FALSE)="","",VLOOKUP($I142,Sessions!$A$2:$W$21,20,FALSE)),""))</f>
        <v>1</v>
      </c>
      <c r="L142" s="3"/>
      <c r="M142" s="3"/>
      <c r="N142" s="3"/>
      <c r="O142" s="3"/>
      <c r="P142" s="4"/>
    </row>
    <row r="143" spans="1:16" ht="23.1" customHeight="1">
      <c r="A143" s="3">
        <v>142</v>
      </c>
      <c r="B143" s="5">
        <v>198</v>
      </c>
      <c r="C143" s="4" t="s">
        <v>82</v>
      </c>
      <c r="D143" s="6">
        <v>0.99950000000000006</v>
      </c>
      <c r="E143" s="8">
        <f>IF(OR($I143="",$D143=""),"",IFERROR(IF(VLOOKUP($I143,Sessions!$A$2:$W$21,2,FALSE)="","",VLOOKUP($I143,Sessions!$A$2:$W$21,2,FALSE)),""))</f>
        <v>46268</v>
      </c>
      <c r="F143" s="9">
        <v>0.76875000000000004</v>
      </c>
      <c r="G143" s="3" t="str">
        <f>IF(OR($I143="",$D143=""),"",IFERROR(IF(VLOOKUP($I143,Sessions!$A$2:$W$21,5,FALSE)="","",VLOOKUP($I143,Sessions!$A$2:$W$21,5,FALSE)),""))</f>
        <v>Timmy D. Bell</v>
      </c>
      <c r="H143" s="3" t="s">
        <v>18</v>
      </c>
      <c r="I143" s="4">
        <v>1</v>
      </c>
      <c r="J143" s="7">
        <f>IF(OR($I143="",$D143=""),"",IFERROR(IF(VLOOKUP($I143,Sessions!$A$2:$W$21,13,FALSE)="","",VLOOKUP($I143,Sessions!$A$2:$W$21,13,FALSE)),""))</f>
        <v>1</v>
      </c>
      <c r="K143" s="7">
        <f>IF(OR($I143="",$D143=""),"",IFERROR(IF(VLOOKUP($I143,Sessions!$A$2:$W$21,20,FALSE)="","",VLOOKUP($I143,Sessions!$A$2:$W$21,20,FALSE)),""))</f>
        <v>1</v>
      </c>
      <c r="L143" s="3"/>
      <c r="M143" s="3"/>
      <c r="N143" s="3"/>
      <c r="O143" s="3"/>
      <c r="P143" s="4"/>
    </row>
    <row r="144" spans="1:16" ht="23.1" customHeight="1">
      <c r="A144" s="3">
        <v>143</v>
      </c>
      <c r="B144" s="5">
        <v>68</v>
      </c>
      <c r="C144" s="4" t="s">
        <v>82</v>
      </c>
      <c r="D144" s="6">
        <v>0.999</v>
      </c>
      <c r="E144" s="8">
        <f>IF(OR($I144="",$D144=""),"",IFERROR(IF(VLOOKUP($I144,Sessions!$A$2:$W$21,2,FALSE)="","",VLOOKUP($I144,Sessions!$A$2:$W$21,2,FALSE)),""))</f>
        <v>46268</v>
      </c>
      <c r="F144" s="9">
        <v>0.76875000000000004</v>
      </c>
      <c r="G144" s="3" t="str">
        <f>IF(OR($I144="",$D144=""),"",IFERROR(IF(VLOOKUP($I144,Sessions!$A$2:$W$21,5,FALSE)="","",VLOOKUP($I144,Sessions!$A$2:$W$21,5,FALSE)),""))</f>
        <v>Timmy D. Bell</v>
      </c>
      <c r="H144" s="3" t="s">
        <v>18</v>
      </c>
      <c r="I144" s="4">
        <v>1</v>
      </c>
      <c r="J144" s="7">
        <f>IF(OR($I144="",$D144=""),"",IFERROR(IF(VLOOKUP($I144,Sessions!$A$2:$W$21,13,FALSE)="","",VLOOKUP($I144,Sessions!$A$2:$W$21,13,FALSE)),""))</f>
        <v>1</v>
      </c>
      <c r="K144" s="7">
        <f>IF(OR($I144="",$D144=""),"",IFERROR(IF(VLOOKUP($I144,Sessions!$A$2:$W$21,20,FALSE)="","",VLOOKUP($I144,Sessions!$A$2:$W$21,20,FALSE)),""))</f>
        <v>1</v>
      </c>
      <c r="L144" s="3"/>
      <c r="M144" s="3"/>
      <c r="N144" s="3"/>
      <c r="O144" s="3"/>
      <c r="P144" s="4"/>
    </row>
    <row r="145" spans="1:16" ht="23.1" customHeight="1">
      <c r="A145" s="3">
        <v>144</v>
      </c>
      <c r="B145" s="5">
        <v>209</v>
      </c>
      <c r="C145" s="4" t="s">
        <v>82</v>
      </c>
      <c r="D145" s="6">
        <v>0.99399999999999999</v>
      </c>
      <c r="E145" s="8">
        <f>IF(OR($I145="",$D145=""),"",IFERROR(IF(VLOOKUP($I145,Sessions!$A$2:$W$21,2,FALSE)="","",VLOOKUP($I145,Sessions!$A$2:$W$21,2,FALSE)),""))</f>
        <v>46268</v>
      </c>
      <c r="F145" s="9">
        <v>0.76875000000000004</v>
      </c>
      <c r="G145" s="3" t="str">
        <f>IF(OR($I145="",$D145=""),"",IFERROR(IF(VLOOKUP($I145,Sessions!$A$2:$W$21,5,FALSE)="","",VLOOKUP($I145,Sessions!$A$2:$W$21,5,FALSE)),""))</f>
        <v>Timmy D. Bell</v>
      </c>
      <c r="H145" s="3" t="s">
        <v>18</v>
      </c>
      <c r="I145" s="4">
        <v>1</v>
      </c>
      <c r="J145" s="7">
        <f>IF(OR($I145="",$D145=""),"",IFERROR(IF(VLOOKUP($I145,Sessions!$A$2:$W$21,13,FALSE)="","",VLOOKUP($I145,Sessions!$A$2:$W$21,13,FALSE)),""))</f>
        <v>1</v>
      </c>
      <c r="K145" s="7">
        <f>IF(OR($I145="",$D145=""),"",IFERROR(IF(VLOOKUP($I145,Sessions!$A$2:$W$21,20,FALSE)="","",VLOOKUP($I145,Sessions!$A$2:$W$21,20,FALSE)),""))</f>
        <v>1</v>
      </c>
      <c r="L145" s="3"/>
      <c r="M145" s="3"/>
      <c r="N145" s="3"/>
      <c r="O145" s="3"/>
      <c r="P145" s="4"/>
    </row>
    <row r="146" spans="1:16" ht="23.1" customHeight="1">
      <c r="A146" s="3">
        <v>145</v>
      </c>
      <c r="B146" s="5">
        <v>14</v>
      </c>
      <c r="C146" s="4" t="s">
        <v>82</v>
      </c>
      <c r="D146" s="6">
        <v>0.99199999999999999</v>
      </c>
      <c r="E146" s="8">
        <f>IF(OR($I146="",$D146=""),"",IFERROR(IF(VLOOKUP($I146,Sessions!$A$2:$W$21,2,FALSE)="","",VLOOKUP($I146,Sessions!$A$2:$W$21,2,FALSE)),""))</f>
        <v>46268</v>
      </c>
      <c r="F146" s="9">
        <v>0.76944444444444449</v>
      </c>
      <c r="G146" s="3" t="str">
        <f>IF(OR($I146="",$D146=""),"",IFERROR(IF(VLOOKUP($I146,Sessions!$A$2:$W$21,5,FALSE)="","",VLOOKUP($I146,Sessions!$A$2:$W$21,5,FALSE)),""))</f>
        <v>Timmy D. Bell</v>
      </c>
      <c r="H146" s="3" t="s">
        <v>18</v>
      </c>
      <c r="I146" s="4">
        <v>1</v>
      </c>
      <c r="J146" s="7">
        <f>IF(OR($I146="",$D146=""),"",IFERROR(IF(VLOOKUP($I146,Sessions!$A$2:$W$21,13,FALSE)="","",VLOOKUP($I146,Sessions!$A$2:$W$21,13,FALSE)),""))</f>
        <v>1</v>
      </c>
      <c r="K146" s="7">
        <f>IF(OR($I146="",$D146=""),"",IFERROR(IF(VLOOKUP($I146,Sessions!$A$2:$W$21,20,FALSE)="","",VLOOKUP($I146,Sessions!$A$2:$W$21,20,FALSE)),""))</f>
        <v>1</v>
      </c>
      <c r="L146" s="3"/>
      <c r="M146" s="3"/>
      <c r="N146" s="3"/>
      <c r="O146" s="3"/>
      <c r="P146" s="4"/>
    </row>
    <row r="147" spans="1:16" ht="23.1" customHeight="1">
      <c r="A147" s="3">
        <v>146</v>
      </c>
      <c r="B147" s="5">
        <v>18</v>
      </c>
      <c r="C147" s="4" t="s">
        <v>82</v>
      </c>
      <c r="D147" s="6">
        <v>0.999</v>
      </c>
      <c r="E147" s="8">
        <f>IF(OR($I147="",$D147=""),"",IFERROR(IF(VLOOKUP($I147,Sessions!$A$2:$W$21,2,FALSE)="","",VLOOKUP($I147,Sessions!$A$2:$W$21,2,FALSE)),""))</f>
        <v>46268</v>
      </c>
      <c r="F147" s="9">
        <v>0.76944444444444449</v>
      </c>
      <c r="G147" s="3" t="str">
        <f>IF(OR($I147="",$D147=""),"",IFERROR(IF(VLOOKUP($I147,Sessions!$A$2:$W$21,5,FALSE)="","",VLOOKUP($I147,Sessions!$A$2:$W$21,5,FALSE)),""))</f>
        <v>Timmy D. Bell</v>
      </c>
      <c r="H147" s="3" t="s">
        <v>18</v>
      </c>
      <c r="I147" s="4">
        <v>1</v>
      </c>
      <c r="J147" s="7">
        <f>IF(OR($I147="",$D147=""),"",IFERROR(IF(VLOOKUP($I147,Sessions!$A$2:$W$21,13,FALSE)="","",VLOOKUP($I147,Sessions!$A$2:$W$21,13,FALSE)),""))</f>
        <v>1</v>
      </c>
      <c r="K147" s="7">
        <f>IF(OR($I147="",$D147=""),"",IFERROR(IF(VLOOKUP($I147,Sessions!$A$2:$W$21,20,FALSE)="","",VLOOKUP($I147,Sessions!$A$2:$W$21,20,FALSE)),""))</f>
        <v>1</v>
      </c>
      <c r="L147" s="3"/>
      <c r="M147" s="3"/>
      <c r="N147" s="3"/>
      <c r="O147" s="3"/>
      <c r="P147" s="4"/>
    </row>
    <row r="148" spans="1:16" ht="23.1" customHeight="1">
      <c r="A148" s="3">
        <v>147</v>
      </c>
      <c r="B148" s="5">
        <v>94</v>
      </c>
      <c r="C148" s="4" t="s">
        <v>82</v>
      </c>
      <c r="D148" s="6">
        <v>1.024</v>
      </c>
      <c r="E148" s="8">
        <f>IF(OR($I148="",$D148=""),"",IFERROR(IF(VLOOKUP($I148,Sessions!$A$2:$W$21,2,FALSE)="","",VLOOKUP($I148,Sessions!$A$2:$W$21,2,FALSE)),""))</f>
        <v>46268</v>
      </c>
      <c r="F148" s="9">
        <v>0.76944444444444449</v>
      </c>
      <c r="G148" s="3" t="str">
        <f>IF(OR($I148="",$D148=""),"",IFERROR(IF(VLOOKUP($I148,Sessions!$A$2:$W$21,5,FALSE)="","",VLOOKUP($I148,Sessions!$A$2:$W$21,5,FALSE)),""))</f>
        <v>Timmy D. Bell</v>
      </c>
      <c r="H148" s="3" t="s">
        <v>18</v>
      </c>
      <c r="I148" s="4">
        <v>1</v>
      </c>
      <c r="J148" s="7">
        <f>IF(OR($I148="",$D148=""),"",IFERROR(IF(VLOOKUP($I148,Sessions!$A$2:$W$21,13,FALSE)="","",VLOOKUP($I148,Sessions!$A$2:$W$21,13,FALSE)),""))</f>
        <v>1</v>
      </c>
      <c r="K148" s="7">
        <f>IF(OR($I148="",$D148=""),"",IFERROR(IF(VLOOKUP($I148,Sessions!$A$2:$W$21,20,FALSE)="","",VLOOKUP($I148,Sessions!$A$2:$W$21,20,FALSE)),""))</f>
        <v>1</v>
      </c>
      <c r="L148" s="3"/>
      <c r="M148" s="3"/>
      <c r="N148" s="3"/>
      <c r="O148" s="3"/>
      <c r="P148" s="4"/>
    </row>
    <row r="149" spans="1:16" ht="23.1" customHeight="1">
      <c r="A149" s="3">
        <v>148</v>
      </c>
      <c r="B149" s="5">
        <v>189</v>
      </c>
      <c r="C149" s="4" t="s">
        <v>82</v>
      </c>
      <c r="D149" s="6">
        <v>0.99850000000000005</v>
      </c>
      <c r="E149" s="8">
        <f>IF(OR($I149="",$D149=""),"",IFERROR(IF(VLOOKUP($I149,Sessions!$A$2:$W$21,2,FALSE)="","",VLOOKUP($I149,Sessions!$A$2:$W$21,2,FALSE)),""))</f>
        <v>46268</v>
      </c>
      <c r="F149" s="9">
        <v>0.77013888888888893</v>
      </c>
      <c r="G149" s="3" t="str">
        <f>IF(OR($I149="",$D149=""),"",IFERROR(IF(VLOOKUP($I149,Sessions!$A$2:$W$21,5,FALSE)="","",VLOOKUP($I149,Sessions!$A$2:$W$21,5,FALSE)),""))</f>
        <v>Timmy D. Bell</v>
      </c>
      <c r="H149" s="3" t="s">
        <v>18</v>
      </c>
      <c r="I149" s="4">
        <v>1</v>
      </c>
      <c r="J149" s="7">
        <f>IF(OR($I149="",$D149=""),"",IFERROR(IF(VLOOKUP($I149,Sessions!$A$2:$W$21,13,FALSE)="","",VLOOKUP($I149,Sessions!$A$2:$W$21,13,FALSE)),""))</f>
        <v>1</v>
      </c>
      <c r="K149" s="7">
        <f>IF(OR($I149="",$D149=""),"",IFERROR(IF(VLOOKUP($I149,Sessions!$A$2:$W$21,20,FALSE)="","",VLOOKUP($I149,Sessions!$A$2:$W$21,20,FALSE)),""))</f>
        <v>1</v>
      </c>
      <c r="L149" s="3"/>
      <c r="M149" s="3"/>
      <c r="N149" s="3"/>
      <c r="O149" s="3"/>
      <c r="P149" s="4"/>
    </row>
    <row r="150" spans="1:16" ht="23.1" customHeight="1">
      <c r="A150" s="3">
        <v>149</v>
      </c>
      <c r="B150" s="5">
        <v>35</v>
      </c>
      <c r="C150" s="4" t="s">
        <v>82</v>
      </c>
      <c r="D150" s="6">
        <v>1.0105</v>
      </c>
      <c r="E150" s="8">
        <f>IF(OR($I150="",$D150=""),"",IFERROR(IF(VLOOKUP($I150,Sessions!$A$2:$W$21,2,FALSE)="","",VLOOKUP($I150,Sessions!$A$2:$W$21,2,FALSE)),""))</f>
        <v>46268</v>
      </c>
      <c r="F150" s="9">
        <v>0.77013888888888893</v>
      </c>
      <c r="G150" s="3" t="str">
        <f>IF(OR($I150="",$D150=""),"",IFERROR(IF(VLOOKUP($I150,Sessions!$A$2:$W$21,5,FALSE)="","",VLOOKUP($I150,Sessions!$A$2:$W$21,5,FALSE)),""))</f>
        <v>Timmy D. Bell</v>
      </c>
      <c r="H150" s="3" t="s">
        <v>18</v>
      </c>
      <c r="I150" s="4">
        <v>1</v>
      </c>
      <c r="J150" s="7">
        <f>IF(OR($I150="",$D150=""),"",IFERROR(IF(VLOOKUP($I150,Sessions!$A$2:$W$21,13,FALSE)="","",VLOOKUP($I150,Sessions!$A$2:$W$21,13,FALSE)),""))</f>
        <v>1</v>
      </c>
      <c r="K150" s="7">
        <f>IF(OR($I150="",$D150=""),"",IFERROR(IF(VLOOKUP($I150,Sessions!$A$2:$W$21,20,FALSE)="","",VLOOKUP($I150,Sessions!$A$2:$W$21,20,FALSE)),""))</f>
        <v>1</v>
      </c>
      <c r="L150" s="3"/>
      <c r="M150" s="3"/>
      <c r="N150" s="3"/>
      <c r="O150" s="3"/>
      <c r="P150" s="4"/>
    </row>
    <row r="151" spans="1:16" ht="23.1" customHeight="1">
      <c r="A151" s="3">
        <v>150</v>
      </c>
      <c r="B151" s="5">
        <v>201</v>
      </c>
      <c r="C151" s="4" t="s">
        <v>82</v>
      </c>
      <c r="D151" s="6">
        <v>1.012</v>
      </c>
      <c r="E151" s="8">
        <f>IF(OR($I151="",$D151=""),"",IFERROR(IF(VLOOKUP($I151,Sessions!$A$2:$W$21,2,FALSE)="","",VLOOKUP($I151,Sessions!$A$2:$W$21,2,FALSE)),""))</f>
        <v>46268</v>
      </c>
      <c r="F151" s="9">
        <v>0.77013888888888893</v>
      </c>
      <c r="G151" s="3" t="str">
        <f>IF(OR($I151="",$D151=""),"",IFERROR(IF(VLOOKUP($I151,Sessions!$A$2:$W$21,5,FALSE)="","",VLOOKUP($I151,Sessions!$A$2:$W$21,5,FALSE)),""))</f>
        <v>Timmy D. Bell</v>
      </c>
      <c r="H151" s="3" t="s">
        <v>18</v>
      </c>
      <c r="I151" s="4">
        <v>1</v>
      </c>
      <c r="J151" s="7">
        <f>IF(OR($I151="",$D151=""),"",IFERROR(IF(VLOOKUP($I151,Sessions!$A$2:$W$21,13,FALSE)="","",VLOOKUP($I151,Sessions!$A$2:$W$21,13,FALSE)),""))</f>
        <v>1</v>
      </c>
      <c r="K151" s="7">
        <f>IF(OR($I151="",$D151=""),"",IFERROR(IF(VLOOKUP($I151,Sessions!$A$2:$W$21,20,FALSE)="","",VLOOKUP($I151,Sessions!$A$2:$W$21,20,FALSE)),""))</f>
        <v>1</v>
      </c>
      <c r="L151" s="3"/>
      <c r="M151" s="3"/>
      <c r="N151" s="3"/>
      <c r="O151" s="3"/>
      <c r="P151" s="4"/>
    </row>
    <row r="152" spans="1:16" ht="23.1" customHeight="1">
      <c r="A152" s="3">
        <v>151</v>
      </c>
      <c r="B152" s="5">
        <v>52</v>
      </c>
      <c r="C152" s="4" t="s">
        <v>82</v>
      </c>
      <c r="D152" s="6">
        <v>1.004</v>
      </c>
      <c r="E152" s="8">
        <f>IF(OR($I152="",$D152=""),"",IFERROR(IF(VLOOKUP($I152,Sessions!$A$2:$W$21,2,FALSE)="","",VLOOKUP($I152,Sessions!$A$2:$W$21,2,FALSE)),""))</f>
        <v>46268</v>
      </c>
      <c r="F152" s="9">
        <v>0.77083333333333337</v>
      </c>
      <c r="G152" s="3" t="str">
        <f>IF(OR($I152="",$D152=""),"",IFERROR(IF(VLOOKUP($I152,Sessions!$A$2:$W$21,5,FALSE)="","",VLOOKUP($I152,Sessions!$A$2:$W$21,5,FALSE)),""))</f>
        <v>Timmy D. Bell</v>
      </c>
      <c r="H152" s="3" t="s">
        <v>18</v>
      </c>
      <c r="I152" s="4">
        <v>1</v>
      </c>
      <c r="J152" s="7">
        <f>IF(OR($I152="",$D152=""),"",IFERROR(IF(VLOOKUP($I152,Sessions!$A$2:$W$21,13,FALSE)="","",VLOOKUP($I152,Sessions!$A$2:$W$21,13,FALSE)),""))</f>
        <v>1</v>
      </c>
      <c r="K152" s="7">
        <f>IF(OR($I152="",$D152=""),"",IFERROR(IF(VLOOKUP($I152,Sessions!$A$2:$W$21,20,FALSE)="","",VLOOKUP($I152,Sessions!$A$2:$W$21,20,FALSE)),""))</f>
        <v>1</v>
      </c>
      <c r="L152" s="3"/>
      <c r="M152" s="3"/>
      <c r="N152" s="3"/>
      <c r="O152" s="3"/>
      <c r="P152" s="4"/>
    </row>
    <row r="153" spans="1:16" ht="23.1" customHeight="1">
      <c r="A153" s="3">
        <v>152</v>
      </c>
      <c r="B153" s="5">
        <v>106</v>
      </c>
      <c r="C153" s="4" t="s">
        <v>82</v>
      </c>
      <c r="D153" s="6">
        <v>1.024</v>
      </c>
      <c r="E153" s="8">
        <f>IF(OR($I153="",$D153=""),"",IFERROR(IF(VLOOKUP($I153,Sessions!$A$2:$W$21,2,FALSE)="","",VLOOKUP($I153,Sessions!$A$2:$W$21,2,FALSE)),""))</f>
        <v>46268</v>
      </c>
      <c r="F153" s="9">
        <v>0.77083333333333337</v>
      </c>
      <c r="G153" s="3" t="str">
        <f>IF(OR($I153="",$D153=""),"",IFERROR(IF(VLOOKUP($I153,Sessions!$A$2:$W$21,5,FALSE)="","",VLOOKUP($I153,Sessions!$A$2:$W$21,5,FALSE)),""))</f>
        <v>Timmy D. Bell</v>
      </c>
      <c r="H153" s="3" t="s">
        <v>18</v>
      </c>
      <c r="I153" s="4">
        <v>1</v>
      </c>
      <c r="J153" s="7">
        <f>IF(OR($I153="",$D153=""),"",IFERROR(IF(VLOOKUP($I153,Sessions!$A$2:$W$21,13,FALSE)="","",VLOOKUP($I153,Sessions!$A$2:$W$21,13,FALSE)),""))</f>
        <v>1</v>
      </c>
      <c r="K153" s="7">
        <f>IF(OR($I153="",$D153=""),"",IFERROR(IF(VLOOKUP($I153,Sessions!$A$2:$W$21,20,FALSE)="","",VLOOKUP($I153,Sessions!$A$2:$W$21,20,FALSE)),""))</f>
        <v>1</v>
      </c>
      <c r="L153" s="3"/>
      <c r="M153" s="3"/>
      <c r="N153" s="3"/>
      <c r="O153" s="3"/>
      <c r="P153" s="4"/>
    </row>
    <row r="154" spans="1:16" ht="23.1" customHeight="1">
      <c r="A154" s="3">
        <v>153</v>
      </c>
      <c r="B154" s="5">
        <v>74</v>
      </c>
      <c r="C154" s="4" t="s">
        <v>82</v>
      </c>
      <c r="D154" s="6">
        <v>1.0145</v>
      </c>
      <c r="E154" s="8">
        <f>IF(OR($I154="",$D154=""),"",IFERROR(IF(VLOOKUP($I154,Sessions!$A$2:$W$21,2,FALSE)="","",VLOOKUP($I154,Sessions!$A$2:$W$21,2,FALSE)),""))</f>
        <v>46268</v>
      </c>
      <c r="F154" s="9">
        <v>0.77083333333333337</v>
      </c>
      <c r="G154" s="3" t="str">
        <f>IF(OR($I154="",$D154=""),"",IFERROR(IF(VLOOKUP($I154,Sessions!$A$2:$W$21,5,FALSE)="","",VLOOKUP($I154,Sessions!$A$2:$W$21,5,FALSE)),""))</f>
        <v>Timmy D. Bell</v>
      </c>
      <c r="H154" s="3" t="s">
        <v>18</v>
      </c>
      <c r="I154" s="4">
        <v>1</v>
      </c>
      <c r="J154" s="7">
        <f>IF(OR($I154="",$D154=""),"",IFERROR(IF(VLOOKUP($I154,Sessions!$A$2:$W$21,13,FALSE)="","",VLOOKUP($I154,Sessions!$A$2:$W$21,13,FALSE)),""))</f>
        <v>1</v>
      </c>
      <c r="K154" s="7">
        <f>IF(OR($I154="",$D154=""),"",IFERROR(IF(VLOOKUP($I154,Sessions!$A$2:$W$21,20,FALSE)="","",VLOOKUP($I154,Sessions!$A$2:$W$21,20,FALSE)),""))</f>
        <v>1</v>
      </c>
      <c r="L154" s="3"/>
      <c r="M154" s="3"/>
      <c r="N154" s="3"/>
      <c r="O154" s="3"/>
      <c r="P154" s="4"/>
    </row>
    <row r="155" spans="1:16" ht="23.1" customHeight="1">
      <c r="A155" s="3">
        <v>154</v>
      </c>
      <c r="B155" s="5">
        <v>175</v>
      </c>
      <c r="C155" s="4" t="s">
        <v>82</v>
      </c>
      <c r="D155" s="6">
        <v>1.0255000000000001</v>
      </c>
      <c r="E155" s="8">
        <f>IF(OR($I155="",$D155=""),"",IFERROR(IF(VLOOKUP($I155,Sessions!$A$2:$W$21,2,FALSE)="","",VLOOKUP($I155,Sessions!$A$2:$W$21,2,FALSE)),""))</f>
        <v>46268</v>
      </c>
      <c r="F155" s="9">
        <v>0.77152777777777781</v>
      </c>
      <c r="G155" s="3" t="str">
        <f>IF(OR($I155="",$D155=""),"",IFERROR(IF(VLOOKUP($I155,Sessions!$A$2:$W$21,5,FALSE)="","",VLOOKUP($I155,Sessions!$A$2:$W$21,5,FALSE)),""))</f>
        <v>Timmy D. Bell</v>
      </c>
      <c r="H155" s="3" t="s">
        <v>18</v>
      </c>
      <c r="I155" s="4">
        <v>1</v>
      </c>
      <c r="J155" s="7">
        <f>IF(OR($I155="",$D155=""),"",IFERROR(IF(VLOOKUP($I155,Sessions!$A$2:$W$21,13,FALSE)="","",VLOOKUP($I155,Sessions!$A$2:$W$21,13,FALSE)),""))</f>
        <v>1</v>
      </c>
      <c r="K155" s="7">
        <f>IF(OR($I155="",$D155=""),"",IFERROR(IF(VLOOKUP($I155,Sessions!$A$2:$W$21,20,FALSE)="","",VLOOKUP($I155,Sessions!$A$2:$W$21,20,FALSE)),""))</f>
        <v>1</v>
      </c>
      <c r="L155" s="3"/>
      <c r="M155" s="3"/>
      <c r="N155" s="3"/>
      <c r="O155" s="3"/>
      <c r="P155" s="4"/>
    </row>
    <row r="156" spans="1:16" ht="23.1" customHeight="1">
      <c r="A156" s="3">
        <v>155</v>
      </c>
      <c r="B156" s="5">
        <v>78</v>
      </c>
      <c r="C156" s="4" t="s">
        <v>82</v>
      </c>
      <c r="D156" s="6">
        <v>0.999</v>
      </c>
      <c r="E156" s="8">
        <f>IF(OR($I156="",$D156=""),"",IFERROR(IF(VLOOKUP($I156,Sessions!$A$2:$W$21,2,FALSE)="","",VLOOKUP($I156,Sessions!$A$2:$W$21,2,FALSE)),""))</f>
        <v>46268</v>
      </c>
      <c r="F156" s="9">
        <v>0.77152777777777781</v>
      </c>
      <c r="G156" s="3" t="str">
        <f>IF(OR($I156="",$D156=""),"",IFERROR(IF(VLOOKUP($I156,Sessions!$A$2:$W$21,5,FALSE)="","",VLOOKUP($I156,Sessions!$A$2:$W$21,5,FALSE)),""))</f>
        <v>Timmy D. Bell</v>
      </c>
      <c r="H156" s="3" t="s">
        <v>18</v>
      </c>
      <c r="I156" s="4">
        <v>1</v>
      </c>
      <c r="J156" s="7">
        <f>IF(OR($I156="",$D156=""),"",IFERROR(IF(VLOOKUP($I156,Sessions!$A$2:$W$21,13,FALSE)="","",VLOOKUP($I156,Sessions!$A$2:$W$21,13,FALSE)),""))</f>
        <v>1</v>
      </c>
      <c r="K156" s="7">
        <f>IF(OR($I156="",$D156=""),"",IFERROR(IF(VLOOKUP($I156,Sessions!$A$2:$W$21,20,FALSE)="","",VLOOKUP($I156,Sessions!$A$2:$W$21,20,FALSE)),""))</f>
        <v>1</v>
      </c>
      <c r="L156" s="3"/>
      <c r="M156" s="3"/>
      <c r="N156" s="3"/>
      <c r="O156" s="3"/>
      <c r="P156" s="4"/>
    </row>
    <row r="157" spans="1:16" ht="23.1" customHeight="1">
      <c r="A157" s="3">
        <v>156</v>
      </c>
      <c r="B157" s="5">
        <v>202</v>
      </c>
      <c r="C157" s="4" t="s">
        <v>82</v>
      </c>
      <c r="D157" s="6">
        <v>0.999</v>
      </c>
      <c r="E157" s="8">
        <f>IF(OR($I157="",$D157=""),"",IFERROR(IF(VLOOKUP($I157,Sessions!$A$2:$W$21,2,FALSE)="","",VLOOKUP($I157,Sessions!$A$2:$W$21,2,FALSE)),""))</f>
        <v>46268</v>
      </c>
      <c r="F157" s="9">
        <v>0.77152777777777781</v>
      </c>
      <c r="G157" s="3" t="str">
        <f>IF(OR($I157="",$D157=""),"",IFERROR(IF(VLOOKUP($I157,Sessions!$A$2:$W$21,5,FALSE)="","",VLOOKUP($I157,Sessions!$A$2:$W$21,5,FALSE)),""))</f>
        <v>Timmy D. Bell</v>
      </c>
      <c r="H157" s="3" t="s">
        <v>18</v>
      </c>
      <c r="I157" s="4">
        <v>1</v>
      </c>
      <c r="J157" s="7">
        <f>IF(OR($I157="",$D157=""),"",IFERROR(IF(VLOOKUP($I157,Sessions!$A$2:$W$21,13,FALSE)="","",VLOOKUP($I157,Sessions!$A$2:$W$21,13,FALSE)),""))</f>
        <v>1</v>
      </c>
      <c r="K157" s="7">
        <f>IF(OR($I157="",$D157=""),"",IFERROR(IF(VLOOKUP($I157,Sessions!$A$2:$W$21,20,FALSE)="","",VLOOKUP($I157,Sessions!$A$2:$W$21,20,FALSE)),""))</f>
        <v>1</v>
      </c>
      <c r="L157" s="3"/>
      <c r="M157" s="3"/>
      <c r="N157" s="3"/>
      <c r="O157" s="3"/>
      <c r="P157" s="4"/>
    </row>
    <row r="158" spans="1:16" ht="23.1" customHeight="1">
      <c r="A158" s="3">
        <v>157</v>
      </c>
      <c r="B158" s="5">
        <v>10</v>
      </c>
      <c r="C158" s="4" t="s">
        <v>82</v>
      </c>
      <c r="D158" s="6">
        <v>0.99950000000000006</v>
      </c>
      <c r="E158" s="8">
        <f>IF(OR($I158="",$D158=""),"",IFERROR(IF(VLOOKUP($I158,Sessions!$A$2:$W$21,2,FALSE)="","",VLOOKUP($I158,Sessions!$A$2:$W$21,2,FALSE)),""))</f>
        <v>46268</v>
      </c>
      <c r="F158" s="9">
        <v>0.77152777777777781</v>
      </c>
      <c r="G158" s="3" t="str">
        <f>IF(OR($I158="",$D158=""),"",IFERROR(IF(VLOOKUP($I158,Sessions!$A$2:$W$21,5,FALSE)="","",VLOOKUP($I158,Sessions!$A$2:$W$21,5,FALSE)),""))</f>
        <v>Timmy D. Bell</v>
      </c>
      <c r="H158" s="3" t="s">
        <v>18</v>
      </c>
      <c r="I158" s="4">
        <v>1</v>
      </c>
      <c r="J158" s="7">
        <f>IF(OR($I158="",$D158=""),"",IFERROR(IF(VLOOKUP($I158,Sessions!$A$2:$W$21,13,FALSE)="","",VLOOKUP($I158,Sessions!$A$2:$W$21,13,FALSE)),""))</f>
        <v>1</v>
      </c>
      <c r="K158" s="7">
        <f>IF(OR($I158="",$D158=""),"",IFERROR(IF(VLOOKUP($I158,Sessions!$A$2:$W$21,20,FALSE)="","",VLOOKUP($I158,Sessions!$A$2:$W$21,20,FALSE)),""))</f>
        <v>1</v>
      </c>
      <c r="L158" s="3"/>
      <c r="M158" s="3"/>
      <c r="N158" s="3"/>
      <c r="O158" s="3"/>
      <c r="P158" s="4"/>
    </row>
    <row r="159" spans="1:16" ht="23.1" customHeight="1">
      <c r="A159" s="3">
        <v>158</v>
      </c>
      <c r="B159" s="5">
        <v>73</v>
      </c>
      <c r="C159" s="4" t="s">
        <v>82</v>
      </c>
      <c r="D159" s="6">
        <v>1</v>
      </c>
      <c r="E159" s="8">
        <f>IF(OR($I159="",$D159=""),"",IFERROR(IF(VLOOKUP($I159,Sessions!$A$2:$W$21,2,FALSE)="","",VLOOKUP($I159,Sessions!$A$2:$W$21,2,FALSE)),""))</f>
        <v>46268</v>
      </c>
      <c r="F159" s="9">
        <v>0.77222222222222225</v>
      </c>
      <c r="G159" s="3" t="str">
        <f>IF(OR($I159="",$D159=""),"",IFERROR(IF(VLOOKUP($I159,Sessions!$A$2:$W$21,5,FALSE)="","",VLOOKUP($I159,Sessions!$A$2:$W$21,5,FALSE)),""))</f>
        <v>Timmy D. Bell</v>
      </c>
      <c r="H159" s="3" t="s">
        <v>18</v>
      </c>
      <c r="I159" s="4">
        <v>1</v>
      </c>
      <c r="J159" s="7">
        <f>IF(OR($I159="",$D159=""),"",IFERROR(IF(VLOOKUP($I159,Sessions!$A$2:$W$21,13,FALSE)="","",VLOOKUP($I159,Sessions!$A$2:$W$21,13,FALSE)),""))</f>
        <v>1</v>
      </c>
      <c r="K159" s="7">
        <f>IF(OR($I159="",$D159=""),"",IFERROR(IF(VLOOKUP($I159,Sessions!$A$2:$W$21,20,FALSE)="","",VLOOKUP($I159,Sessions!$A$2:$W$21,20,FALSE)),""))</f>
        <v>1</v>
      </c>
      <c r="L159" s="3"/>
      <c r="M159" s="3"/>
      <c r="N159" s="3"/>
      <c r="O159" s="3"/>
      <c r="P159" s="4"/>
    </row>
    <row r="160" spans="1:16" ht="23.1" customHeight="1">
      <c r="A160" s="3">
        <v>159</v>
      </c>
      <c r="B160" s="5">
        <v>87</v>
      </c>
      <c r="C160" s="4" t="s">
        <v>82</v>
      </c>
      <c r="D160" s="6">
        <v>0.99950000000000006</v>
      </c>
      <c r="E160" s="8">
        <f>IF(OR($I160="",$D160=""),"",IFERROR(IF(VLOOKUP($I160,Sessions!$A$2:$W$21,2,FALSE)="","",VLOOKUP($I160,Sessions!$A$2:$W$21,2,FALSE)),""))</f>
        <v>46268</v>
      </c>
      <c r="F160" s="9">
        <v>0.77222222222222225</v>
      </c>
      <c r="G160" s="3" t="str">
        <f>IF(OR($I160="",$D160=""),"",IFERROR(IF(VLOOKUP($I160,Sessions!$A$2:$W$21,5,FALSE)="","",VLOOKUP($I160,Sessions!$A$2:$W$21,5,FALSE)),""))</f>
        <v>Timmy D. Bell</v>
      </c>
      <c r="H160" s="3" t="s">
        <v>18</v>
      </c>
      <c r="I160" s="4">
        <v>1</v>
      </c>
      <c r="J160" s="7">
        <f>IF(OR($I160="",$D160=""),"",IFERROR(IF(VLOOKUP($I160,Sessions!$A$2:$W$21,13,FALSE)="","",VLOOKUP($I160,Sessions!$A$2:$W$21,13,FALSE)),""))</f>
        <v>1</v>
      </c>
      <c r="K160" s="7">
        <f>IF(OR($I160="",$D160=""),"",IFERROR(IF(VLOOKUP($I160,Sessions!$A$2:$W$21,20,FALSE)="","",VLOOKUP($I160,Sessions!$A$2:$W$21,20,FALSE)),""))</f>
        <v>1</v>
      </c>
      <c r="L160" s="3"/>
      <c r="M160" s="3"/>
      <c r="N160" s="3"/>
      <c r="O160" s="3"/>
      <c r="P160" s="4"/>
    </row>
    <row r="161" spans="1:16" ht="23.1" customHeight="1">
      <c r="A161" s="3">
        <v>160</v>
      </c>
      <c r="B161" s="5">
        <v>163</v>
      </c>
      <c r="C161" s="4" t="s">
        <v>82</v>
      </c>
      <c r="D161" s="6">
        <v>0.99150000000000005</v>
      </c>
      <c r="E161" s="8">
        <f>IF(OR($I161="",$D161=""),"",IFERROR(IF(VLOOKUP($I161,Sessions!$A$2:$W$21,2,FALSE)="","",VLOOKUP($I161,Sessions!$A$2:$W$21,2,FALSE)),""))</f>
        <v>46268</v>
      </c>
      <c r="F161" s="9">
        <v>0.77222222222222225</v>
      </c>
      <c r="G161" s="3" t="str">
        <f>IF(OR($I161="",$D161=""),"",IFERROR(IF(VLOOKUP($I161,Sessions!$A$2:$W$21,5,FALSE)="","",VLOOKUP($I161,Sessions!$A$2:$W$21,5,FALSE)),""))</f>
        <v>Timmy D. Bell</v>
      </c>
      <c r="H161" s="3" t="s">
        <v>18</v>
      </c>
      <c r="I161" s="4">
        <v>1</v>
      </c>
      <c r="J161" s="7">
        <f>IF(OR($I161="",$D161=""),"",IFERROR(IF(VLOOKUP($I161,Sessions!$A$2:$W$21,13,FALSE)="","",VLOOKUP($I161,Sessions!$A$2:$W$21,13,FALSE)),""))</f>
        <v>1</v>
      </c>
      <c r="K161" s="7">
        <f>IF(OR($I161="",$D161=""),"",IFERROR(IF(VLOOKUP($I161,Sessions!$A$2:$W$21,20,FALSE)="","",VLOOKUP($I161,Sessions!$A$2:$W$21,20,FALSE)),""))</f>
        <v>1</v>
      </c>
      <c r="L161" s="3"/>
      <c r="M161" s="3"/>
      <c r="N161" s="3"/>
      <c r="O161" s="3"/>
      <c r="P161" s="4"/>
    </row>
    <row r="162" spans="1:16" ht="23.1" customHeight="1">
      <c r="A162" s="3">
        <v>161</v>
      </c>
      <c r="B162" s="5">
        <v>156</v>
      </c>
      <c r="C162" s="4" t="s">
        <v>82</v>
      </c>
      <c r="D162" s="6">
        <v>1.0269999999999999</v>
      </c>
      <c r="E162" s="8">
        <f>IF(OR($I162="",$D162=""),"",IFERROR(IF(VLOOKUP($I162,Sessions!$A$2:$W$21,2,FALSE)="","",VLOOKUP($I162,Sessions!$A$2:$W$21,2,FALSE)),""))</f>
        <v>46268</v>
      </c>
      <c r="F162" s="9">
        <v>0.77222222222222225</v>
      </c>
      <c r="G162" s="3" t="str">
        <f>IF(OR($I162="",$D162=""),"",IFERROR(IF(VLOOKUP($I162,Sessions!$A$2:$W$21,5,FALSE)="","",VLOOKUP($I162,Sessions!$A$2:$W$21,5,FALSE)),""))</f>
        <v>Timmy D. Bell</v>
      </c>
      <c r="H162" s="3" t="s">
        <v>18</v>
      </c>
      <c r="I162" s="4">
        <v>1</v>
      </c>
      <c r="J162" s="7">
        <f>IF(OR($I162="",$D162=""),"",IFERROR(IF(VLOOKUP($I162,Sessions!$A$2:$W$21,13,FALSE)="","",VLOOKUP($I162,Sessions!$A$2:$W$21,13,FALSE)),""))</f>
        <v>1</v>
      </c>
      <c r="K162" s="7">
        <f>IF(OR($I162="",$D162=""),"",IFERROR(IF(VLOOKUP($I162,Sessions!$A$2:$W$21,20,FALSE)="","",VLOOKUP($I162,Sessions!$A$2:$W$21,20,FALSE)),""))</f>
        <v>1</v>
      </c>
      <c r="L162" s="3"/>
      <c r="M162" s="3"/>
      <c r="N162" s="3"/>
      <c r="O162" s="3"/>
      <c r="P162" s="4"/>
    </row>
    <row r="163" spans="1:16" ht="23.1" customHeight="1">
      <c r="A163" s="3">
        <v>162</v>
      </c>
      <c r="B163" s="5">
        <v>123</v>
      </c>
      <c r="C163" s="4" t="s">
        <v>82</v>
      </c>
      <c r="D163" s="6">
        <v>0.98099999999999998</v>
      </c>
      <c r="E163" s="8">
        <f>IF(OR($I163="",$D163=""),"",IFERROR(IF(VLOOKUP($I163,Sessions!$A$2:$W$21,2,FALSE)="","",VLOOKUP($I163,Sessions!$A$2:$W$21,2,FALSE)),""))</f>
        <v>46268</v>
      </c>
      <c r="F163" s="9">
        <v>0.7729166666666667</v>
      </c>
      <c r="G163" s="3" t="str">
        <f>IF(OR($I163="",$D163=""),"",IFERROR(IF(VLOOKUP($I163,Sessions!$A$2:$W$21,5,FALSE)="","",VLOOKUP($I163,Sessions!$A$2:$W$21,5,FALSE)),""))</f>
        <v>Timmy D. Bell</v>
      </c>
      <c r="H163" s="3" t="s">
        <v>18</v>
      </c>
      <c r="I163" s="4">
        <v>1</v>
      </c>
      <c r="J163" s="7">
        <f>IF(OR($I163="",$D163=""),"",IFERROR(IF(VLOOKUP($I163,Sessions!$A$2:$W$21,13,FALSE)="","",VLOOKUP($I163,Sessions!$A$2:$W$21,13,FALSE)),""))</f>
        <v>1</v>
      </c>
      <c r="K163" s="7">
        <f>IF(OR($I163="",$D163=""),"",IFERROR(IF(VLOOKUP($I163,Sessions!$A$2:$W$21,20,FALSE)="","",VLOOKUP($I163,Sessions!$A$2:$W$21,20,FALSE)),""))</f>
        <v>1</v>
      </c>
      <c r="L163" s="3"/>
      <c r="M163" s="3"/>
      <c r="N163" s="3"/>
      <c r="O163" s="3"/>
      <c r="P163" s="4"/>
    </row>
    <row r="164" spans="1:16" ht="23.1" customHeight="1">
      <c r="A164" s="3">
        <v>163</v>
      </c>
      <c r="B164" s="5">
        <v>118</v>
      </c>
      <c r="C164" s="4" t="s">
        <v>82</v>
      </c>
      <c r="D164" s="6">
        <v>1.01</v>
      </c>
      <c r="E164" s="8">
        <f>IF(OR($I164="",$D164=""),"",IFERROR(IF(VLOOKUP($I164,Sessions!$A$2:$W$21,2,FALSE)="","",VLOOKUP($I164,Sessions!$A$2:$W$21,2,FALSE)),""))</f>
        <v>46268</v>
      </c>
      <c r="F164" s="9">
        <v>0.7729166666666667</v>
      </c>
      <c r="G164" s="3" t="str">
        <f>IF(OR($I164="",$D164=""),"",IFERROR(IF(VLOOKUP($I164,Sessions!$A$2:$W$21,5,FALSE)="","",VLOOKUP($I164,Sessions!$A$2:$W$21,5,FALSE)),""))</f>
        <v>Timmy D. Bell</v>
      </c>
      <c r="H164" s="3" t="s">
        <v>18</v>
      </c>
      <c r="I164" s="4">
        <v>1</v>
      </c>
      <c r="J164" s="7">
        <f>IF(OR($I164="",$D164=""),"",IFERROR(IF(VLOOKUP($I164,Sessions!$A$2:$W$21,13,FALSE)="","",VLOOKUP($I164,Sessions!$A$2:$W$21,13,FALSE)),""))</f>
        <v>1</v>
      </c>
      <c r="K164" s="7">
        <f>IF(OR($I164="",$D164=""),"",IFERROR(IF(VLOOKUP($I164,Sessions!$A$2:$W$21,20,FALSE)="","",VLOOKUP($I164,Sessions!$A$2:$W$21,20,FALSE)),""))</f>
        <v>1</v>
      </c>
      <c r="L164" s="3"/>
      <c r="M164" s="3"/>
      <c r="N164" s="3"/>
      <c r="O164" s="3"/>
      <c r="P164" s="4"/>
    </row>
    <row r="165" spans="1:16" ht="23.1" customHeight="1">
      <c r="A165" s="3">
        <v>164</v>
      </c>
      <c r="B165" s="5">
        <v>171</v>
      </c>
      <c r="C165" s="4" t="s">
        <v>82</v>
      </c>
      <c r="D165" s="6">
        <v>1.0035000000000001</v>
      </c>
      <c r="E165" s="8">
        <f>IF(OR($I165="",$D165=""),"",IFERROR(IF(VLOOKUP($I165,Sessions!$A$2:$W$21,2,FALSE)="","",VLOOKUP($I165,Sessions!$A$2:$W$21,2,FALSE)),""))</f>
        <v>46268</v>
      </c>
      <c r="F165" s="9">
        <v>0.7729166666666667</v>
      </c>
      <c r="G165" s="3" t="str">
        <f>IF(OR($I165="",$D165=""),"",IFERROR(IF(VLOOKUP($I165,Sessions!$A$2:$W$21,5,FALSE)="","",VLOOKUP($I165,Sessions!$A$2:$W$21,5,FALSE)),""))</f>
        <v>Timmy D. Bell</v>
      </c>
      <c r="H165" s="3" t="s">
        <v>18</v>
      </c>
      <c r="I165" s="4">
        <v>1</v>
      </c>
      <c r="J165" s="7">
        <f>IF(OR($I165="",$D165=""),"",IFERROR(IF(VLOOKUP($I165,Sessions!$A$2:$W$21,13,FALSE)="","",VLOOKUP($I165,Sessions!$A$2:$W$21,13,FALSE)),""))</f>
        <v>1</v>
      </c>
      <c r="K165" s="7">
        <f>IF(OR($I165="",$D165=""),"",IFERROR(IF(VLOOKUP($I165,Sessions!$A$2:$W$21,20,FALSE)="","",VLOOKUP($I165,Sessions!$A$2:$W$21,20,FALSE)),""))</f>
        <v>1</v>
      </c>
      <c r="L165" s="3"/>
      <c r="M165" s="3"/>
      <c r="N165" s="3"/>
      <c r="O165" s="3"/>
      <c r="P165" s="4"/>
    </row>
    <row r="166" spans="1:16" ht="23.1" customHeight="1">
      <c r="A166" s="3">
        <v>165</v>
      </c>
      <c r="B166" s="5">
        <v>135</v>
      </c>
      <c r="C166" s="4" t="s">
        <v>82</v>
      </c>
      <c r="D166" s="6">
        <v>1.01</v>
      </c>
      <c r="E166" s="8">
        <f>IF(OR($I166="",$D166=""),"",IFERROR(IF(VLOOKUP($I166,Sessions!$A$2:$W$21,2,FALSE)="","",VLOOKUP($I166,Sessions!$A$2:$W$21,2,FALSE)),""))</f>
        <v>46268</v>
      </c>
      <c r="F166" s="9">
        <v>0.77361111111111114</v>
      </c>
      <c r="G166" s="3" t="str">
        <f>IF(OR($I166="",$D166=""),"",IFERROR(IF(VLOOKUP($I166,Sessions!$A$2:$W$21,5,FALSE)="","",VLOOKUP($I166,Sessions!$A$2:$W$21,5,FALSE)),""))</f>
        <v>Timmy D. Bell</v>
      </c>
      <c r="H166" s="3" t="s">
        <v>18</v>
      </c>
      <c r="I166" s="4">
        <v>1</v>
      </c>
      <c r="J166" s="7">
        <f>IF(OR($I166="",$D166=""),"",IFERROR(IF(VLOOKUP($I166,Sessions!$A$2:$W$21,13,FALSE)="","",VLOOKUP($I166,Sessions!$A$2:$W$21,13,FALSE)),""))</f>
        <v>1</v>
      </c>
      <c r="K166" s="7">
        <f>IF(OR($I166="",$D166=""),"",IFERROR(IF(VLOOKUP($I166,Sessions!$A$2:$W$21,20,FALSE)="","",VLOOKUP($I166,Sessions!$A$2:$W$21,20,FALSE)),""))</f>
        <v>1</v>
      </c>
      <c r="L166" s="3"/>
      <c r="M166" s="3"/>
      <c r="N166" s="3"/>
      <c r="O166" s="3"/>
      <c r="P166" s="4"/>
    </row>
    <row r="167" spans="1:16" ht="23.1" customHeight="1">
      <c r="A167" s="3">
        <v>166</v>
      </c>
      <c r="B167" s="5">
        <v>125</v>
      </c>
      <c r="C167" s="4" t="s">
        <v>82</v>
      </c>
      <c r="D167" s="6">
        <v>0.99950000000000006</v>
      </c>
      <c r="E167" s="8">
        <f>IF(OR($I167="",$D167=""),"",IFERROR(IF(VLOOKUP($I167,Sessions!$A$2:$W$21,2,FALSE)="","",VLOOKUP($I167,Sessions!$A$2:$W$21,2,FALSE)),""))</f>
        <v>46268</v>
      </c>
      <c r="F167" s="9">
        <v>0.77361111111111114</v>
      </c>
      <c r="G167" s="3" t="str">
        <f>IF(OR($I167="",$D167=""),"",IFERROR(IF(VLOOKUP($I167,Sessions!$A$2:$W$21,5,FALSE)="","",VLOOKUP($I167,Sessions!$A$2:$W$21,5,FALSE)),""))</f>
        <v>Timmy D. Bell</v>
      </c>
      <c r="H167" s="3" t="s">
        <v>18</v>
      </c>
      <c r="I167" s="4">
        <v>1</v>
      </c>
      <c r="J167" s="7">
        <f>IF(OR($I167="",$D167=""),"",IFERROR(IF(VLOOKUP($I167,Sessions!$A$2:$W$21,13,FALSE)="","",VLOOKUP($I167,Sessions!$A$2:$W$21,13,FALSE)),""))</f>
        <v>1</v>
      </c>
      <c r="K167" s="7">
        <f>IF(OR($I167="",$D167=""),"",IFERROR(IF(VLOOKUP($I167,Sessions!$A$2:$W$21,20,FALSE)="","",VLOOKUP($I167,Sessions!$A$2:$W$21,20,FALSE)),""))</f>
        <v>1</v>
      </c>
      <c r="L167" s="3"/>
      <c r="M167" s="3"/>
      <c r="N167" s="3"/>
      <c r="O167" s="3"/>
      <c r="P167" s="4"/>
    </row>
    <row r="168" spans="1:16" ht="23.1" customHeight="1">
      <c r="A168" s="3">
        <v>167</v>
      </c>
      <c r="B168" s="5">
        <v>9</v>
      </c>
      <c r="C168" s="4" t="s">
        <v>82</v>
      </c>
      <c r="D168" s="6">
        <v>0.99050000000000005</v>
      </c>
      <c r="E168" s="8">
        <f>IF(OR($I168="",$D168=""),"",IFERROR(IF(VLOOKUP($I168,Sessions!$A$2:$W$21,2,FALSE)="","",VLOOKUP($I168,Sessions!$A$2:$W$21,2,FALSE)),""))</f>
        <v>46268</v>
      </c>
      <c r="F168" s="9">
        <v>0.77430555555555558</v>
      </c>
      <c r="G168" s="3" t="str">
        <f>IF(OR($I168="",$D168=""),"",IFERROR(IF(VLOOKUP($I168,Sessions!$A$2:$W$21,5,FALSE)="","",VLOOKUP($I168,Sessions!$A$2:$W$21,5,FALSE)),""))</f>
        <v>Timmy D. Bell</v>
      </c>
      <c r="H168" s="3" t="s">
        <v>18</v>
      </c>
      <c r="I168" s="4">
        <v>1</v>
      </c>
      <c r="J168" s="7">
        <f>IF(OR($I168="",$D168=""),"",IFERROR(IF(VLOOKUP($I168,Sessions!$A$2:$W$21,13,FALSE)="","",VLOOKUP($I168,Sessions!$A$2:$W$21,13,FALSE)),""))</f>
        <v>1</v>
      </c>
      <c r="K168" s="7">
        <f>IF(OR($I168="",$D168=""),"",IFERROR(IF(VLOOKUP($I168,Sessions!$A$2:$W$21,20,FALSE)="","",VLOOKUP($I168,Sessions!$A$2:$W$21,20,FALSE)),""))</f>
        <v>1</v>
      </c>
      <c r="L168" s="3"/>
      <c r="M168" s="3"/>
      <c r="N168" s="3"/>
      <c r="O168" s="3"/>
      <c r="P168" s="4"/>
    </row>
    <row r="169" spans="1:16" ht="23.1" customHeight="1">
      <c r="A169" s="3">
        <v>168</v>
      </c>
      <c r="B169" s="5">
        <v>76</v>
      </c>
      <c r="C169" s="4" t="s">
        <v>82</v>
      </c>
      <c r="D169" s="6">
        <v>1.0004999999999999</v>
      </c>
      <c r="E169" s="8">
        <f>IF(OR($I169="",$D169=""),"",IFERROR(IF(VLOOKUP($I169,Sessions!$A$2:$W$21,2,FALSE)="","",VLOOKUP($I169,Sessions!$A$2:$W$21,2,FALSE)),""))</f>
        <v>46268</v>
      </c>
      <c r="F169" s="9">
        <v>0.77430555555555558</v>
      </c>
      <c r="G169" s="3" t="str">
        <f>IF(OR($I169="",$D169=""),"",IFERROR(IF(VLOOKUP($I169,Sessions!$A$2:$W$21,5,FALSE)="","",VLOOKUP($I169,Sessions!$A$2:$W$21,5,FALSE)),""))</f>
        <v>Timmy D. Bell</v>
      </c>
      <c r="H169" s="3" t="s">
        <v>18</v>
      </c>
      <c r="I169" s="4">
        <v>1</v>
      </c>
      <c r="J169" s="7">
        <f>IF(OR($I169="",$D169=""),"",IFERROR(IF(VLOOKUP($I169,Sessions!$A$2:$W$21,13,FALSE)="","",VLOOKUP($I169,Sessions!$A$2:$W$21,13,FALSE)),""))</f>
        <v>1</v>
      </c>
      <c r="K169" s="7">
        <f>IF(OR($I169="",$D169=""),"",IFERROR(IF(VLOOKUP($I169,Sessions!$A$2:$W$21,20,FALSE)="","",VLOOKUP($I169,Sessions!$A$2:$W$21,20,FALSE)),""))</f>
        <v>1</v>
      </c>
      <c r="L169" s="3"/>
      <c r="M169" s="3"/>
      <c r="N169" s="3"/>
      <c r="O169" s="3"/>
      <c r="P169" s="4"/>
    </row>
    <row r="170" spans="1:16" ht="23.1" customHeight="1">
      <c r="A170" s="3">
        <v>169</v>
      </c>
      <c r="B170" s="5">
        <v>26</v>
      </c>
      <c r="C170" s="4" t="s">
        <v>82</v>
      </c>
      <c r="D170" s="6">
        <v>0.99150000000000005</v>
      </c>
      <c r="E170" s="8">
        <f>IF(OR($I170="",$D170=""),"",IFERROR(IF(VLOOKUP($I170,Sessions!$A$2:$W$21,2,FALSE)="","",VLOOKUP($I170,Sessions!$A$2:$W$21,2,FALSE)),""))</f>
        <v>46268</v>
      </c>
      <c r="F170" s="9">
        <v>0.77430555555555558</v>
      </c>
      <c r="G170" s="3" t="str">
        <f>IF(OR($I170="",$D170=""),"",IFERROR(IF(VLOOKUP($I170,Sessions!$A$2:$W$21,5,FALSE)="","",VLOOKUP($I170,Sessions!$A$2:$W$21,5,FALSE)),""))</f>
        <v>Timmy D. Bell</v>
      </c>
      <c r="H170" s="3" t="s">
        <v>18</v>
      </c>
      <c r="I170" s="4">
        <v>1</v>
      </c>
      <c r="J170" s="7">
        <f>IF(OR($I170="",$D170=""),"",IFERROR(IF(VLOOKUP($I170,Sessions!$A$2:$W$21,13,FALSE)="","",VLOOKUP($I170,Sessions!$A$2:$W$21,13,FALSE)),""))</f>
        <v>1</v>
      </c>
      <c r="K170" s="7">
        <f>IF(OR($I170="",$D170=""),"",IFERROR(IF(VLOOKUP($I170,Sessions!$A$2:$W$21,20,FALSE)="","",VLOOKUP($I170,Sessions!$A$2:$W$21,20,FALSE)),""))</f>
        <v>1</v>
      </c>
      <c r="L170" s="3"/>
      <c r="M170" s="3"/>
      <c r="N170" s="3"/>
      <c r="O170" s="3"/>
      <c r="P170" s="4"/>
    </row>
    <row r="171" spans="1:16" ht="23.1" customHeight="1">
      <c r="A171" s="3">
        <v>170</v>
      </c>
      <c r="B171" s="5">
        <v>2</v>
      </c>
      <c r="C171" s="4" t="s">
        <v>82</v>
      </c>
      <c r="D171" s="6">
        <v>1.0004999999999999</v>
      </c>
      <c r="E171" s="8">
        <f>IF(OR($I171="",$D171=""),"",IFERROR(IF(VLOOKUP($I171,Sessions!$A$2:$W$21,2,FALSE)="","",VLOOKUP($I171,Sessions!$A$2:$W$21,2,FALSE)),""))</f>
        <v>46268</v>
      </c>
      <c r="F171" s="9">
        <v>0.77500000000000002</v>
      </c>
      <c r="G171" s="3" t="str">
        <f>IF(OR($I171="",$D171=""),"",IFERROR(IF(VLOOKUP($I171,Sessions!$A$2:$W$21,5,FALSE)="","",VLOOKUP($I171,Sessions!$A$2:$W$21,5,FALSE)),""))</f>
        <v>Timmy D. Bell</v>
      </c>
      <c r="H171" s="3" t="s">
        <v>18</v>
      </c>
      <c r="I171" s="4">
        <v>1</v>
      </c>
      <c r="J171" s="7">
        <f>IF(OR($I171="",$D171=""),"",IFERROR(IF(VLOOKUP($I171,Sessions!$A$2:$W$21,13,FALSE)="","",VLOOKUP($I171,Sessions!$A$2:$W$21,13,FALSE)),""))</f>
        <v>1</v>
      </c>
      <c r="K171" s="7">
        <f>IF(OR($I171="",$D171=""),"",IFERROR(IF(VLOOKUP($I171,Sessions!$A$2:$W$21,20,FALSE)="","",VLOOKUP($I171,Sessions!$A$2:$W$21,20,FALSE)),""))</f>
        <v>1</v>
      </c>
      <c r="L171" s="3"/>
      <c r="M171" s="3"/>
      <c r="N171" s="3"/>
      <c r="O171" s="3"/>
      <c r="P171" s="4"/>
    </row>
    <row r="172" spans="1:16" ht="23.1" customHeight="1">
      <c r="A172" s="3">
        <v>171</v>
      </c>
      <c r="B172" s="5">
        <v>44</v>
      </c>
      <c r="C172" s="4" t="s">
        <v>82</v>
      </c>
      <c r="D172" s="6">
        <v>1.0035000000000001</v>
      </c>
      <c r="E172" s="8">
        <f>IF(OR($I172="",$D172=""),"",IFERROR(IF(VLOOKUP($I172,Sessions!$A$2:$W$21,2,FALSE)="","",VLOOKUP($I172,Sessions!$A$2:$W$21,2,FALSE)),""))</f>
        <v>46268</v>
      </c>
      <c r="F172" s="9">
        <v>0.77500000000000002</v>
      </c>
      <c r="G172" s="3" t="str">
        <f>IF(OR($I172="",$D172=""),"",IFERROR(IF(VLOOKUP($I172,Sessions!$A$2:$W$21,5,FALSE)="","",VLOOKUP($I172,Sessions!$A$2:$W$21,5,FALSE)),""))</f>
        <v>Timmy D. Bell</v>
      </c>
      <c r="H172" s="3" t="s">
        <v>18</v>
      </c>
      <c r="I172" s="4">
        <v>1</v>
      </c>
      <c r="J172" s="7">
        <f>IF(OR($I172="",$D172=""),"",IFERROR(IF(VLOOKUP($I172,Sessions!$A$2:$W$21,13,FALSE)="","",VLOOKUP($I172,Sessions!$A$2:$W$21,13,FALSE)),""))</f>
        <v>1</v>
      </c>
      <c r="K172" s="7">
        <f>IF(OR($I172="",$D172=""),"",IFERROR(IF(VLOOKUP($I172,Sessions!$A$2:$W$21,20,FALSE)="","",VLOOKUP($I172,Sessions!$A$2:$W$21,20,FALSE)),""))</f>
        <v>1</v>
      </c>
      <c r="L172" s="3"/>
      <c r="M172" s="3"/>
      <c r="N172" s="3"/>
      <c r="O172" s="3"/>
      <c r="P172" s="4"/>
    </row>
    <row r="173" spans="1:16" ht="23.1" customHeight="1">
      <c r="A173" s="3">
        <v>172</v>
      </c>
      <c r="B173" s="5">
        <v>230</v>
      </c>
      <c r="C173" s="4" t="s">
        <v>82</v>
      </c>
      <c r="D173" s="6">
        <v>1.004</v>
      </c>
      <c r="E173" s="8">
        <f>IF(OR($I173="",$D173=""),"",IFERROR(IF(VLOOKUP($I173,Sessions!$A$2:$W$21,2,FALSE)="","",VLOOKUP($I173,Sessions!$A$2:$W$21,2,FALSE)),""))</f>
        <v>46268</v>
      </c>
      <c r="F173" s="9">
        <v>0.77500000000000002</v>
      </c>
      <c r="G173" s="3" t="str">
        <f>IF(OR($I173="",$D173=""),"",IFERROR(IF(VLOOKUP($I173,Sessions!$A$2:$W$21,5,FALSE)="","",VLOOKUP($I173,Sessions!$A$2:$W$21,5,FALSE)),""))</f>
        <v>Timmy D. Bell</v>
      </c>
      <c r="H173" s="3" t="s">
        <v>18</v>
      </c>
      <c r="I173" s="4">
        <v>1</v>
      </c>
      <c r="J173" s="7">
        <f>IF(OR($I173="",$D173=""),"",IFERROR(IF(VLOOKUP($I173,Sessions!$A$2:$W$21,13,FALSE)="","",VLOOKUP($I173,Sessions!$A$2:$W$21,13,FALSE)),""))</f>
        <v>1</v>
      </c>
      <c r="K173" s="7">
        <f>IF(OR($I173="",$D173=""),"",IFERROR(IF(VLOOKUP($I173,Sessions!$A$2:$W$21,20,FALSE)="","",VLOOKUP($I173,Sessions!$A$2:$W$21,20,FALSE)),""))</f>
        <v>1</v>
      </c>
      <c r="L173" s="3"/>
      <c r="M173" s="3"/>
      <c r="N173" s="3"/>
      <c r="O173" s="3"/>
      <c r="P173" s="4"/>
    </row>
    <row r="174" spans="1:16" ht="23.1" customHeight="1">
      <c r="A174" s="3">
        <v>173</v>
      </c>
      <c r="B174" s="5">
        <v>55</v>
      </c>
      <c r="C174" s="4" t="s">
        <v>82</v>
      </c>
      <c r="D174" s="6">
        <v>0.995</v>
      </c>
      <c r="E174" s="8">
        <f>IF(OR($I174="",$D174=""),"",IFERROR(IF(VLOOKUP($I174,Sessions!$A$2:$W$21,2,FALSE)="","",VLOOKUP($I174,Sessions!$A$2:$W$21,2,FALSE)),""))</f>
        <v>46268</v>
      </c>
      <c r="F174" s="9">
        <v>0.77569444444444446</v>
      </c>
      <c r="G174" s="3" t="str">
        <f>IF(OR($I174="",$D174=""),"",IFERROR(IF(VLOOKUP($I174,Sessions!$A$2:$W$21,5,FALSE)="","",VLOOKUP($I174,Sessions!$A$2:$W$21,5,FALSE)),""))</f>
        <v>Timmy D. Bell</v>
      </c>
      <c r="H174" s="3" t="s">
        <v>18</v>
      </c>
      <c r="I174" s="4">
        <v>1</v>
      </c>
      <c r="J174" s="7">
        <f>IF(OR($I174="",$D174=""),"",IFERROR(IF(VLOOKUP($I174,Sessions!$A$2:$W$21,13,FALSE)="","",VLOOKUP($I174,Sessions!$A$2:$W$21,13,FALSE)),""))</f>
        <v>1</v>
      </c>
      <c r="K174" s="7">
        <f>IF(OR($I174="",$D174=""),"",IFERROR(IF(VLOOKUP($I174,Sessions!$A$2:$W$21,20,FALSE)="","",VLOOKUP($I174,Sessions!$A$2:$W$21,20,FALSE)),""))</f>
        <v>1</v>
      </c>
      <c r="L174" s="3"/>
      <c r="M174" s="3"/>
      <c r="N174" s="3"/>
      <c r="O174" s="3"/>
      <c r="P174" s="4"/>
    </row>
    <row r="175" spans="1:16" ht="23.1" customHeight="1">
      <c r="A175" s="3">
        <v>174</v>
      </c>
      <c r="B175" s="5">
        <v>110</v>
      </c>
      <c r="C175" s="4" t="s">
        <v>82</v>
      </c>
      <c r="D175" s="6">
        <v>1.0095000000000001</v>
      </c>
      <c r="E175" s="8">
        <f>IF(OR($I175="",$D175=""),"",IFERROR(IF(VLOOKUP($I175,Sessions!$A$2:$W$21,2,FALSE)="","",VLOOKUP($I175,Sessions!$A$2:$W$21,2,FALSE)),""))</f>
        <v>46268</v>
      </c>
      <c r="F175" s="9">
        <v>0.77569444444444446</v>
      </c>
      <c r="G175" s="3" t="str">
        <f>IF(OR($I175="",$D175=""),"",IFERROR(IF(VLOOKUP($I175,Sessions!$A$2:$W$21,5,FALSE)="","",VLOOKUP($I175,Sessions!$A$2:$W$21,5,FALSE)),""))</f>
        <v>Timmy D. Bell</v>
      </c>
      <c r="H175" s="3" t="s">
        <v>18</v>
      </c>
      <c r="I175" s="4">
        <v>1</v>
      </c>
      <c r="J175" s="7">
        <f>IF(OR($I175="",$D175=""),"",IFERROR(IF(VLOOKUP($I175,Sessions!$A$2:$W$21,13,FALSE)="","",VLOOKUP($I175,Sessions!$A$2:$W$21,13,FALSE)),""))</f>
        <v>1</v>
      </c>
      <c r="K175" s="7">
        <f>IF(OR($I175="",$D175=""),"",IFERROR(IF(VLOOKUP($I175,Sessions!$A$2:$W$21,20,FALSE)="","",VLOOKUP($I175,Sessions!$A$2:$W$21,20,FALSE)),""))</f>
        <v>1</v>
      </c>
      <c r="L175" s="3"/>
      <c r="M175" s="3"/>
      <c r="N175" s="3"/>
      <c r="O175" s="3"/>
      <c r="P175" s="4"/>
    </row>
    <row r="176" spans="1:16" ht="23.1" customHeight="1">
      <c r="A176" s="3">
        <v>175</v>
      </c>
      <c r="B176" s="5">
        <v>25</v>
      </c>
      <c r="C176" s="4" t="s">
        <v>82</v>
      </c>
      <c r="D176" s="6">
        <v>1.0044999999999999</v>
      </c>
      <c r="E176" s="8">
        <f>IF(OR($I176="",$D176=""),"",IFERROR(IF(VLOOKUP($I176,Sessions!$A$2:$W$21,2,FALSE)="","",VLOOKUP($I176,Sessions!$A$2:$W$21,2,FALSE)),""))</f>
        <v>46268</v>
      </c>
      <c r="F176" s="9">
        <v>0.77569444444444446</v>
      </c>
      <c r="G176" s="3" t="str">
        <f>IF(OR($I176="",$D176=""),"",IFERROR(IF(VLOOKUP($I176,Sessions!$A$2:$W$21,5,FALSE)="","",VLOOKUP($I176,Sessions!$A$2:$W$21,5,FALSE)),""))</f>
        <v>Timmy D. Bell</v>
      </c>
      <c r="H176" s="3" t="s">
        <v>18</v>
      </c>
      <c r="I176" s="4">
        <v>1</v>
      </c>
      <c r="J176" s="7">
        <f>IF(OR($I176="",$D176=""),"",IFERROR(IF(VLOOKUP($I176,Sessions!$A$2:$W$21,13,FALSE)="","",VLOOKUP($I176,Sessions!$A$2:$W$21,13,FALSE)),""))</f>
        <v>1</v>
      </c>
      <c r="K176" s="7">
        <f>IF(OR($I176="",$D176=""),"",IFERROR(IF(VLOOKUP($I176,Sessions!$A$2:$W$21,20,FALSE)="","",VLOOKUP($I176,Sessions!$A$2:$W$21,20,FALSE)),""))</f>
        <v>1</v>
      </c>
      <c r="L176" s="3"/>
      <c r="M176" s="3"/>
      <c r="N176" s="3"/>
      <c r="O176" s="3"/>
      <c r="P176" s="4"/>
    </row>
    <row r="177" spans="1:16" ht="23.1" customHeight="1">
      <c r="A177" s="3">
        <v>176</v>
      </c>
      <c r="B177" s="5">
        <v>48</v>
      </c>
      <c r="C177" s="4" t="s">
        <v>82</v>
      </c>
      <c r="D177" s="6">
        <v>1.0065</v>
      </c>
      <c r="E177" s="8">
        <f>IF(OR($I177="",$D177=""),"",IFERROR(IF(VLOOKUP($I177,Sessions!$A$2:$W$21,2,FALSE)="","",VLOOKUP($I177,Sessions!$A$2:$W$21,2,FALSE)),""))</f>
        <v>46268</v>
      </c>
      <c r="F177" s="9">
        <v>0.77638888888888891</v>
      </c>
      <c r="G177" s="3" t="str">
        <f>IF(OR($I177="",$D177=""),"",IFERROR(IF(VLOOKUP($I177,Sessions!$A$2:$W$21,5,FALSE)="","",VLOOKUP($I177,Sessions!$A$2:$W$21,5,FALSE)),""))</f>
        <v>Timmy D. Bell</v>
      </c>
      <c r="H177" s="3" t="s">
        <v>18</v>
      </c>
      <c r="I177" s="4">
        <v>1</v>
      </c>
      <c r="J177" s="7">
        <f>IF(OR($I177="",$D177=""),"",IFERROR(IF(VLOOKUP($I177,Sessions!$A$2:$W$21,13,FALSE)="","",VLOOKUP($I177,Sessions!$A$2:$W$21,13,FALSE)),""))</f>
        <v>1</v>
      </c>
      <c r="K177" s="7">
        <f>IF(OR($I177="",$D177=""),"",IFERROR(IF(VLOOKUP($I177,Sessions!$A$2:$W$21,20,FALSE)="","",VLOOKUP($I177,Sessions!$A$2:$W$21,20,FALSE)),""))</f>
        <v>1</v>
      </c>
      <c r="L177" s="3"/>
      <c r="M177" s="3"/>
      <c r="N177" s="3"/>
      <c r="O177" s="3"/>
      <c r="P177" s="4"/>
    </row>
    <row r="178" spans="1:16" ht="23.1" customHeight="1">
      <c r="A178" s="3">
        <v>177</v>
      </c>
      <c r="B178" s="5">
        <v>220</v>
      </c>
      <c r="C178" s="4" t="s">
        <v>82</v>
      </c>
      <c r="D178" s="6">
        <v>0.99850000000000005</v>
      </c>
      <c r="E178" s="8">
        <f>IF(OR($I178="",$D178=""),"",IFERROR(IF(VLOOKUP($I178,Sessions!$A$2:$W$21,2,FALSE)="","",VLOOKUP($I178,Sessions!$A$2:$W$21,2,FALSE)),""))</f>
        <v>46268</v>
      </c>
      <c r="F178" s="9">
        <v>0.77638888888888891</v>
      </c>
      <c r="G178" s="3" t="str">
        <f>IF(OR($I178="",$D178=""),"",IFERROR(IF(VLOOKUP($I178,Sessions!$A$2:$W$21,5,FALSE)="","",VLOOKUP($I178,Sessions!$A$2:$W$21,5,FALSE)),""))</f>
        <v>Timmy D. Bell</v>
      </c>
      <c r="H178" s="3" t="s">
        <v>18</v>
      </c>
      <c r="I178" s="4">
        <v>1</v>
      </c>
      <c r="J178" s="7">
        <f>IF(OR($I178="",$D178=""),"",IFERROR(IF(VLOOKUP($I178,Sessions!$A$2:$W$21,13,FALSE)="","",VLOOKUP($I178,Sessions!$A$2:$W$21,13,FALSE)),""))</f>
        <v>1</v>
      </c>
      <c r="K178" s="7">
        <f>IF(OR($I178="",$D178=""),"",IFERROR(IF(VLOOKUP($I178,Sessions!$A$2:$W$21,20,FALSE)="","",VLOOKUP($I178,Sessions!$A$2:$W$21,20,FALSE)),""))</f>
        <v>1</v>
      </c>
      <c r="L178" s="3"/>
      <c r="M178" s="3"/>
      <c r="N178" s="3"/>
      <c r="O178" s="3"/>
      <c r="P178" s="4"/>
    </row>
    <row r="179" spans="1:16" ht="23.1" customHeight="1">
      <c r="A179" s="3">
        <v>178</v>
      </c>
      <c r="B179" s="5">
        <v>213</v>
      </c>
      <c r="C179" s="4" t="s">
        <v>82</v>
      </c>
      <c r="D179" s="6">
        <v>1.002</v>
      </c>
      <c r="E179" s="8">
        <f>IF(OR($I179="",$D179=""),"",IFERROR(IF(VLOOKUP($I179,Sessions!$A$2:$W$21,2,FALSE)="","",VLOOKUP($I179,Sessions!$A$2:$W$21,2,FALSE)),""))</f>
        <v>46268</v>
      </c>
      <c r="F179" s="9">
        <v>0.77638888888888891</v>
      </c>
      <c r="G179" s="3" t="str">
        <f>IF(OR($I179="",$D179=""),"",IFERROR(IF(VLOOKUP($I179,Sessions!$A$2:$W$21,5,FALSE)="","",VLOOKUP($I179,Sessions!$A$2:$W$21,5,FALSE)),""))</f>
        <v>Timmy D. Bell</v>
      </c>
      <c r="H179" s="3" t="s">
        <v>18</v>
      </c>
      <c r="I179" s="4">
        <v>1</v>
      </c>
      <c r="J179" s="7">
        <f>IF(OR($I179="",$D179=""),"",IFERROR(IF(VLOOKUP($I179,Sessions!$A$2:$W$21,13,FALSE)="","",VLOOKUP($I179,Sessions!$A$2:$W$21,13,FALSE)),""))</f>
        <v>1</v>
      </c>
      <c r="K179" s="7">
        <f>IF(OR($I179="",$D179=""),"",IFERROR(IF(VLOOKUP($I179,Sessions!$A$2:$W$21,20,FALSE)="","",VLOOKUP($I179,Sessions!$A$2:$W$21,20,FALSE)),""))</f>
        <v>1</v>
      </c>
      <c r="L179" s="3"/>
      <c r="M179" s="3"/>
      <c r="N179" s="3"/>
      <c r="O179" s="3"/>
      <c r="P179" s="4"/>
    </row>
    <row r="180" spans="1:16" ht="23.1" customHeight="1">
      <c r="A180" s="3">
        <v>179</v>
      </c>
      <c r="B180" s="5">
        <v>58</v>
      </c>
      <c r="C180" s="4" t="s">
        <v>82</v>
      </c>
      <c r="D180" s="6">
        <v>0.99050000000000005</v>
      </c>
      <c r="E180" s="8">
        <f>IF(OR($I180="",$D180=""),"",IFERROR(IF(VLOOKUP($I180,Sessions!$A$2:$W$21,2,FALSE)="","",VLOOKUP($I180,Sessions!$A$2:$W$21,2,FALSE)),""))</f>
        <v>46268</v>
      </c>
      <c r="F180" s="9">
        <v>0.77708333333333335</v>
      </c>
      <c r="G180" s="3" t="str">
        <f>IF(OR($I180="",$D180=""),"",IFERROR(IF(VLOOKUP($I180,Sessions!$A$2:$W$21,5,FALSE)="","",VLOOKUP($I180,Sessions!$A$2:$W$21,5,FALSE)),""))</f>
        <v>Timmy D. Bell</v>
      </c>
      <c r="H180" s="3" t="s">
        <v>18</v>
      </c>
      <c r="I180" s="4">
        <v>1</v>
      </c>
      <c r="J180" s="7">
        <f>IF(OR($I180="",$D180=""),"",IFERROR(IF(VLOOKUP($I180,Sessions!$A$2:$W$21,13,FALSE)="","",VLOOKUP($I180,Sessions!$A$2:$W$21,13,FALSE)),""))</f>
        <v>1</v>
      </c>
      <c r="K180" s="7">
        <f>IF(OR($I180="",$D180=""),"",IFERROR(IF(VLOOKUP($I180,Sessions!$A$2:$W$21,20,FALSE)="","",VLOOKUP($I180,Sessions!$A$2:$W$21,20,FALSE)),""))</f>
        <v>1</v>
      </c>
      <c r="L180" s="3"/>
      <c r="M180" s="3"/>
      <c r="N180" s="3"/>
      <c r="O180" s="3"/>
      <c r="P180" s="4"/>
    </row>
    <row r="181" spans="1:16" ht="23.1" customHeight="1">
      <c r="A181" s="3">
        <v>180</v>
      </c>
      <c r="B181" s="5">
        <v>75</v>
      </c>
      <c r="C181" s="4" t="s">
        <v>82</v>
      </c>
      <c r="D181" s="6">
        <v>0.97950000000000004</v>
      </c>
      <c r="E181" s="8">
        <f>IF(OR($I181="",$D181=""),"",IFERROR(IF(VLOOKUP($I181,Sessions!$A$2:$W$21,2,FALSE)="","",VLOOKUP($I181,Sessions!$A$2:$W$21,2,FALSE)),""))</f>
        <v>46268</v>
      </c>
      <c r="F181" s="9">
        <v>0.77708333333333335</v>
      </c>
      <c r="G181" s="3" t="str">
        <f>IF(OR($I181="",$D181=""),"",IFERROR(IF(VLOOKUP($I181,Sessions!$A$2:$W$21,5,FALSE)="","",VLOOKUP($I181,Sessions!$A$2:$W$21,5,FALSE)),""))</f>
        <v>Timmy D. Bell</v>
      </c>
      <c r="H181" s="3" t="s">
        <v>18</v>
      </c>
      <c r="I181" s="4">
        <v>1</v>
      </c>
      <c r="J181" s="7">
        <f>IF(OR($I181="",$D181=""),"",IFERROR(IF(VLOOKUP($I181,Sessions!$A$2:$W$21,13,FALSE)="","",VLOOKUP($I181,Sessions!$A$2:$W$21,13,FALSE)),""))</f>
        <v>1</v>
      </c>
      <c r="K181" s="7">
        <f>IF(OR($I181="",$D181=""),"",IFERROR(IF(VLOOKUP($I181,Sessions!$A$2:$W$21,20,FALSE)="","",VLOOKUP($I181,Sessions!$A$2:$W$21,20,FALSE)),""))</f>
        <v>1</v>
      </c>
      <c r="L181" s="3"/>
      <c r="M181" s="3"/>
      <c r="N181" s="3"/>
      <c r="O181" s="3"/>
      <c r="P181" s="4"/>
    </row>
    <row r="182" spans="1:16" ht="23.1" customHeight="1">
      <c r="A182" s="3">
        <v>181</v>
      </c>
      <c r="B182" s="5">
        <v>177</v>
      </c>
      <c r="C182" s="4" t="s">
        <v>82</v>
      </c>
      <c r="D182" s="6">
        <v>0.998</v>
      </c>
      <c r="E182" s="8">
        <f>IF(OR($I182="",$D182=""),"",IFERROR(IF(VLOOKUP($I182,Sessions!$A$2:$W$21,2,FALSE)="","",VLOOKUP($I182,Sessions!$A$2:$W$21,2,FALSE)),""))</f>
        <v>46268</v>
      </c>
      <c r="F182" s="9">
        <v>0.77708333333333335</v>
      </c>
      <c r="G182" s="3" t="str">
        <f>IF(OR($I182="",$D182=""),"",IFERROR(IF(VLOOKUP($I182,Sessions!$A$2:$W$21,5,FALSE)="","",VLOOKUP($I182,Sessions!$A$2:$W$21,5,FALSE)),""))</f>
        <v>Timmy D. Bell</v>
      </c>
      <c r="H182" s="3" t="s">
        <v>18</v>
      </c>
      <c r="I182" s="4">
        <v>1</v>
      </c>
      <c r="J182" s="7">
        <f>IF(OR($I182="",$D182=""),"",IFERROR(IF(VLOOKUP($I182,Sessions!$A$2:$W$21,13,FALSE)="","",VLOOKUP($I182,Sessions!$A$2:$W$21,13,FALSE)),""))</f>
        <v>1</v>
      </c>
      <c r="K182" s="7">
        <f>IF(OR($I182="",$D182=""),"",IFERROR(IF(VLOOKUP($I182,Sessions!$A$2:$W$21,20,FALSE)="","",VLOOKUP($I182,Sessions!$A$2:$W$21,20,FALSE)),""))</f>
        <v>1</v>
      </c>
      <c r="L182" s="3"/>
      <c r="M182" s="3"/>
      <c r="N182" s="3"/>
      <c r="O182" s="3"/>
      <c r="P182" s="4"/>
    </row>
    <row r="183" spans="1:16" ht="23.1" customHeight="1">
      <c r="A183" s="3">
        <v>182</v>
      </c>
      <c r="B183" s="5">
        <v>204</v>
      </c>
      <c r="C183" s="4" t="s">
        <v>82</v>
      </c>
      <c r="D183" s="6">
        <v>0.99850000000000005</v>
      </c>
      <c r="E183" s="8">
        <f>IF(OR($I183="",$D183=""),"",IFERROR(IF(VLOOKUP($I183,Sessions!$A$2:$W$21,2,FALSE)="","",VLOOKUP($I183,Sessions!$A$2:$W$21,2,FALSE)),""))</f>
        <v>46268</v>
      </c>
      <c r="F183" s="9">
        <v>0.77777777777777779</v>
      </c>
      <c r="G183" s="3" t="str">
        <f>IF(OR($I183="",$D183=""),"",IFERROR(IF(VLOOKUP($I183,Sessions!$A$2:$W$21,5,FALSE)="","",VLOOKUP($I183,Sessions!$A$2:$W$21,5,FALSE)),""))</f>
        <v>Timmy D. Bell</v>
      </c>
      <c r="H183" s="3" t="s">
        <v>18</v>
      </c>
      <c r="I183" s="4">
        <v>1</v>
      </c>
      <c r="J183" s="7">
        <f>IF(OR($I183="",$D183=""),"",IFERROR(IF(VLOOKUP($I183,Sessions!$A$2:$W$21,13,FALSE)="","",VLOOKUP($I183,Sessions!$A$2:$W$21,13,FALSE)),""))</f>
        <v>1</v>
      </c>
      <c r="K183" s="7">
        <f>IF(OR($I183="",$D183=""),"",IFERROR(IF(VLOOKUP($I183,Sessions!$A$2:$W$21,20,FALSE)="","",VLOOKUP($I183,Sessions!$A$2:$W$21,20,FALSE)),""))</f>
        <v>1</v>
      </c>
      <c r="L183" s="3"/>
      <c r="M183" s="3"/>
      <c r="N183" s="3"/>
      <c r="O183" s="3"/>
      <c r="P183" s="4"/>
    </row>
    <row r="184" spans="1:16" ht="23.1" customHeight="1">
      <c r="A184" s="3">
        <v>183</v>
      </c>
      <c r="B184" s="5">
        <v>144</v>
      </c>
      <c r="C184" s="4" t="s">
        <v>82</v>
      </c>
      <c r="D184" s="6">
        <v>1.0089999999999999</v>
      </c>
      <c r="E184" s="8">
        <f>IF(OR($I184="",$D184=""),"",IFERROR(IF(VLOOKUP($I184,Sessions!$A$2:$W$21,2,FALSE)="","",VLOOKUP($I184,Sessions!$A$2:$W$21,2,FALSE)),""))</f>
        <v>46268</v>
      </c>
      <c r="F184" s="9">
        <v>0.77777777777777779</v>
      </c>
      <c r="G184" s="3" t="str">
        <f>IF(OR($I184="",$D184=""),"",IFERROR(IF(VLOOKUP($I184,Sessions!$A$2:$W$21,5,FALSE)="","",VLOOKUP($I184,Sessions!$A$2:$W$21,5,FALSE)),""))</f>
        <v>Timmy D. Bell</v>
      </c>
      <c r="H184" s="3" t="s">
        <v>18</v>
      </c>
      <c r="I184" s="4">
        <v>1</v>
      </c>
      <c r="J184" s="7">
        <f>IF(OR($I184="",$D184=""),"",IFERROR(IF(VLOOKUP($I184,Sessions!$A$2:$W$21,13,FALSE)="","",VLOOKUP($I184,Sessions!$A$2:$W$21,13,FALSE)),""))</f>
        <v>1</v>
      </c>
      <c r="K184" s="7">
        <f>IF(OR($I184="",$D184=""),"",IFERROR(IF(VLOOKUP($I184,Sessions!$A$2:$W$21,20,FALSE)="","",VLOOKUP($I184,Sessions!$A$2:$W$21,20,FALSE)),""))</f>
        <v>1</v>
      </c>
      <c r="L184" s="3"/>
      <c r="M184" s="3"/>
      <c r="N184" s="3"/>
      <c r="O184" s="3"/>
      <c r="P184" s="4"/>
    </row>
    <row r="185" spans="1:16" ht="23.1" customHeight="1">
      <c r="A185" s="3">
        <v>184</v>
      </c>
      <c r="B185" s="5">
        <v>40</v>
      </c>
      <c r="C185" s="4" t="s">
        <v>82</v>
      </c>
      <c r="D185" s="6">
        <v>0.99299999999999999</v>
      </c>
      <c r="E185" s="8">
        <f>IF(OR($I185="",$D185=""),"",IFERROR(IF(VLOOKUP($I185,Sessions!$A$2:$W$21,2,FALSE)="","",VLOOKUP($I185,Sessions!$A$2:$W$21,2,FALSE)),""))</f>
        <v>46268</v>
      </c>
      <c r="F185" s="9">
        <v>0.77777777777777779</v>
      </c>
      <c r="G185" s="3" t="str">
        <f>IF(OR($I185="",$D185=""),"",IFERROR(IF(VLOOKUP($I185,Sessions!$A$2:$W$21,5,FALSE)="","",VLOOKUP($I185,Sessions!$A$2:$W$21,5,FALSE)),""))</f>
        <v>Timmy D. Bell</v>
      </c>
      <c r="H185" s="3" t="s">
        <v>18</v>
      </c>
      <c r="I185" s="4">
        <v>1</v>
      </c>
      <c r="J185" s="7">
        <f>IF(OR($I185="",$D185=""),"",IFERROR(IF(VLOOKUP($I185,Sessions!$A$2:$W$21,13,FALSE)="","",VLOOKUP($I185,Sessions!$A$2:$W$21,13,FALSE)),""))</f>
        <v>1</v>
      </c>
      <c r="K185" s="7">
        <f>IF(OR($I185="",$D185=""),"",IFERROR(IF(VLOOKUP($I185,Sessions!$A$2:$W$21,20,FALSE)="","",VLOOKUP($I185,Sessions!$A$2:$W$21,20,FALSE)),""))</f>
        <v>1</v>
      </c>
      <c r="L185" s="3"/>
      <c r="M185" s="3"/>
      <c r="N185" s="3"/>
      <c r="O185" s="3"/>
      <c r="P185" s="4"/>
    </row>
    <row r="186" spans="1:16" ht="23.1" customHeight="1">
      <c r="A186" s="3">
        <v>185</v>
      </c>
      <c r="B186" s="5">
        <v>43</v>
      </c>
      <c r="C186" s="4" t="s">
        <v>82</v>
      </c>
      <c r="D186" s="6">
        <v>0.99399999999999999</v>
      </c>
      <c r="E186" s="8">
        <f>IF(OR($I186="",$D186=""),"",IFERROR(IF(VLOOKUP($I186,Sessions!$A$2:$W$21,2,FALSE)="","",VLOOKUP($I186,Sessions!$A$2:$W$21,2,FALSE)),""))</f>
        <v>46268</v>
      </c>
      <c r="F186" s="9">
        <v>0.77847222222222223</v>
      </c>
      <c r="G186" s="3" t="str">
        <f>IF(OR($I186="",$D186=""),"",IFERROR(IF(VLOOKUP($I186,Sessions!$A$2:$W$21,5,FALSE)="","",VLOOKUP($I186,Sessions!$A$2:$W$21,5,FALSE)),""))</f>
        <v>Timmy D. Bell</v>
      </c>
      <c r="H186" s="3" t="s">
        <v>18</v>
      </c>
      <c r="I186" s="4">
        <v>1</v>
      </c>
      <c r="J186" s="7">
        <f>IF(OR($I186="",$D186=""),"",IFERROR(IF(VLOOKUP($I186,Sessions!$A$2:$W$21,13,FALSE)="","",VLOOKUP($I186,Sessions!$A$2:$W$21,13,FALSE)),""))</f>
        <v>1</v>
      </c>
      <c r="K186" s="7">
        <f>IF(OR($I186="",$D186=""),"",IFERROR(IF(VLOOKUP($I186,Sessions!$A$2:$W$21,20,FALSE)="","",VLOOKUP($I186,Sessions!$A$2:$W$21,20,FALSE)),""))</f>
        <v>1</v>
      </c>
      <c r="L186" s="3"/>
      <c r="M186" s="3"/>
      <c r="N186" s="3"/>
      <c r="O186" s="3"/>
      <c r="P186" s="4"/>
    </row>
    <row r="187" spans="1:16" ht="23.1" customHeight="1">
      <c r="A187" s="3">
        <v>186</v>
      </c>
      <c r="B187" s="5">
        <v>54</v>
      </c>
      <c r="C187" s="4" t="s">
        <v>82</v>
      </c>
      <c r="D187" s="6">
        <v>1.0249999999999999</v>
      </c>
      <c r="E187" s="8">
        <f>IF(OR($I187="",$D187=""),"",IFERROR(IF(VLOOKUP($I187,Sessions!$A$2:$W$21,2,FALSE)="","",VLOOKUP($I187,Sessions!$A$2:$W$21,2,FALSE)),""))</f>
        <v>46268</v>
      </c>
      <c r="F187" s="9">
        <v>0.77847222222222223</v>
      </c>
      <c r="G187" s="3" t="str">
        <f>IF(OR($I187="",$D187=""),"",IFERROR(IF(VLOOKUP($I187,Sessions!$A$2:$W$21,5,FALSE)="","",VLOOKUP($I187,Sessions!$A$2:$W$21,5,FALSE)),""))</f>
        <v>Timmy D. Bell</v>
      </c>
      <c r="H187" s="3" t="s">
        <v>18</v>
      </c>
      <c r="I187" s="4">
        <v>1</v>
      </c>
      <c r="J187" s="7">
        <f>IF(OR($I187="",$D187=""),"",IFERROR(IF(VLOOKUP($I187,Sessions!$A$2:$W$21,13,FALSE)="","",VLOOKUP($I187,Sessions!$A$2:$W$21,13,FALSE)),""))</f>
        <v>1</v>
      </c>
      <c r="K187" s="7">
        <f>IF(OR($I187="",$D187=""),"",IFERROR(IF(VLOOKUP($I187,Sessions!$A$2:$W$21,20,FALSE)="","",VLOOKUP($I187,Sessions!$A$2:$W$21,20,FALSE)),""))</f>
        <v>1</v>
      </c>
      <c r="L187" s="3"/>
      <c r="M187" s="3"/>
      <c r="N187" s="3"/>
      <c r="O187" s="3"/>
      <c r="P187" s="4"/>
    </row>
    <row r="188" spans="1:16" ht="23.1" customHeight="1">
      <c r="A188" s="3">
        <v>187</v>
      </c>
      <c r="B188" s="5">
        <v>217</v>
      </c>
      <c r="C188" s="4" t="s">
        <v>82</v>
      </c>
      <c r="D188" s="6">
        <v>1.0089999999999999</v>
      </c>
      <c r="E188" s="8">
        <f>IF(OR($I188="",$D188=""),"",IFERROR(IF(VLOOKUP($I188,Sessions!$A$2:$W$21,2,FALSE)="","",VLOOKUP($I188,Sessions!$A$2:$W$21,2,FALSE)),""))</f>
        <v>46268</v>
      </c>
      <c r="F188" s="9">
        <v>0.77847222222222223</v>
      </c>
      <c r="G188" s="3" t="str">
        <f>IF(OR($I188="",$D188=""),"",IFERROR(IF(VLOOKUP($I188,Sessions!$A$2:$W$21,5,FALSE)="","",VLOOKUP($I188,Sessions!$A$2:$W$21,5,FALSE)),""))</f>
        <v>Timmy D. Bell</v>
      </c>
      <c r="H188" s="3" t="s">
        <v>18</v>
      </c>
      <c r="I188" s="4">
        <v>1</v>
      </c>
      <c r="J188" s="7">
        <f>IF(OR($I188="",$D188=""),"",IFERROR(IF(VLOOKUP($I188,Sessions!$A$2:$W$21,13,FALSE)="","",VLOOKUP($I188,Sessions!$A$2:$W$21,13,FALSE)),""))</f>
        <v>1</v>
      </c>
      <c r="K188" s="7">
        <f>IF(OR($I188="",$D188=""),"",IFERROR(IF(VLOOKUP($I188,Sessions!$A$2:$W$21,20,FALSE)="","",VLOOKUP($I188,Sessions!$A$2:$W$21,20,FALSE)),""))</f>
        <v>1</v>
      </c>
      <c r="L188" s="3"/>
      <c r="M188" s="3"/>
      <c r="N188" s="3"/>
      <c r="O188" s="3"/>
      <c r="P188" s="4"/>
    </row>
    <row r="189" spans="1:16" ht="23.1" customHeight="1">
      <c r="A189" s="3">
        <v>188</v>
      </c>
      <c r="B189" s="5">
        <v>164</v>
      </c>
      <c r="C189" s="4" t="s">
        <v>82</v>
      </c>
      <c r="D189" s="6">
        <v>0.999</v>
      </c>
      <c r="E189" s="8">
        <f>IF(OR($I189="",$D189=""),"",IFERROR(IF(VLOOKUP($I189,Sessions!$A$2:$W$21,2,FALSE)="","",VLOOKUP($I189,Sessions!$A$2:$W$21,2,FALSE)),""))</f>
        <v>46268</v>
      </c>
      <c r="F189" s="9">
        <v>0.77916666666666667</v>
      </c>
      <c r="G189" s="3" t="str">
        <f>IF(OR($I189="",$D189=""),"",IFERROR(IF(VLOOKUP($I189,Sessions!$A$2:$W$21,5,FALSE)="","",VLOOKUP($I189,Sessions!$A$2:$W$21,5,FALSE)),""))</f>
        <v>Timmy D. Bell</v>
      </c>
      <c r="H189" s="3" t="s">
        <v>18</v>
      </c>
      <c r="I189" s="4">
        <v>1</v>
      </c>
      <c r="J189" s="7">
        <f>IF(OR($I189="",$D189=""),"",IFERROR(IF(VLOOKUP($I189,Sessions!$A$2:$W$21,13,FALSE)="","",VLOOKUP($I189,Sessions!$A$2:$W$21,13,FALSE)),""))</f>
        <v>1</v>
      </c>
      <c r="K189" s="7">
        <f>IF(OR($I189="",$D189=""),"",IFERROR(IF(VLOOKUP($I189,Sessions!$A$2:$W$21,20,FALSE)="","",VLOOKUP($I189,Sessions!$A$2:$W$21,20,FALSE)),""))</f>
        <v>1</v>
      </c>
      <c r="L189" s="3"/>
      <c r="M189" s="3"/>
      <c r="N189" s="3"/>
      <c r="O189" s="3"/>
      <c r="P189" s="4"/>
    </row>
    <row r="190" spans="1:16" ht="23.1" customHeight="1">
      <c r="A190" s="3">
        <v>189</v>
      </c>
      <c r="B190" s="5">
        <v>20</v>
      </c>
      <c r="C190" s="4" t="s">
        <v>82</v>
      </c>
      <c r="D190" s="6">
        <v>0.99099999999999999</v>
      </c>
      <c r="E190" s="8">
        <f>IF(OR($I190="",$D190=""),"",IFERROR(IF(VLOOKUP($I190,Sessions!$A$2:$W$21,2,FALSE)="","",VLOOKUP($I190,Sessions!$A$2:$W$21,2,FALSE)),""))</f>
        <v>46268</v>
      </c>
      <c r="F190" s="9">
        <v>0.78194444444444444</v>
      </c>
      <c r="G190" s="3" t="str">
        <f>IF(OR($I190="",$D190=""),"",IFERROR(IF(VLOOKUP($I190,Sessions!$A$2:$W$21,5,FALSE)="","",VLOOKUP($I190,Sessions!$A$2:$W$21,5,FALSE)),""))</f>
        <v>Timmy D. Bell</v>
      </c>
      <c r="H190" s="3" t="s">
        <v>18</v>
      </c>
      <c r="I190" s="4">
        <v>1</v>
      </c>
      <c r="J190" s="7">
        <f>IF(OR($I190="",$D190=""),"",IFERROR(IF(VLOOKUP($I190,Sessions!$A$2:$W$21,13,FALSE)="","",VLOOKUP($I190,Sessions!$A$2:$W$21,13,FALSE)),""))</f>
        <v>1</v>
      </c>
      <c r="K190" s="7">
        <f>IF(OR($I190="",$D190=""),"",IFERROR(IF(VLOOKUP($I190,Sessions!$A$2:$W$21,20,FALSE)="","",VLOOKUP($I190,Sessions!$A$2:$W$21,20,FALSE)),""))</f>
        <v>1</v>
      </c>
      <c r="L190" s="3"/>
      <c r="M190" s="3"/>
      <c r="N190" s="3"/>
      <c r="O190" s="3"/>
      <c r="P190" s="4"/>
    </row>
    <row r="191" spans="1:16" ht="23.1" customHeight="1">
      <c r="A191" s="3">
        <v>190</v>
      </c>
      <c r="B191" s="5">
        <v>13</v>
      </c>
      <c r="C191" s="4" t="s">
        <v>82</v>
      </c>
      <c r="D191" s="6">
        <v>0.99850000000000005</v>
      </c>
      <c r="E191" s="8">
        <f>IF(OR($I191="",$D191=""),"",IFERROR(IF(VLOOKUP($I191,Sessions!$A$2:$W$21,2,FALSE)="","",VLOOKUP($I191,Sessions!$A$2:$W$21,2,FALSE)),""))</f>
        <v>46268</v>
      </c>
      <c r="F191" s="9">
        <v>0.78194444444444444</v>
      </c>
      <c r="G191" s="3" t="str">
        <f>IF(OR($I191="",$D191=""),"",IFERROR(IF(VLOOKUP($I191,Sessions!$A$2:$W$21,5,FALSE)="","",VLOOKUP($I191,Sessions!$A$2:$W$21,5,FALSE)),""))</f>
        <v>Timmy D. Bell</v>
      </c>
      <c r="H191" s="3" t="s">
        <v>18</v>
      </c>
      <c r="I191" s="4">
        <v>1</v>
      </c>
      <c r="J191" s="7">
        <f>IF(OR($I191="",$D191=""),"",IFERROR(IF(VLOOKUP($I191,Sessions!$A$2:$W$21,13,FALSE)="","",VLOOKUP($I191,Sessions!$A$2:$W$21,13,FALSE)),""))</f>
        <v>1</v>
      </c>
      <c r="K191" s="7">
        <f>IF(OR($I191="",$D191=""),"",IFERROR(IF(VLOOKUP($I191,Sessions!$A$2:$W$21,20,FALSE)="","",VLOOKUP($I191,Sessions!$A$2:$W$21,20,FALSE)),""))</f>
        <v>1</v>
      </c>
      <c r="L191" s="3"/>
      <c r="M191" s="3"/>
      <c r="N191" s="3"/>
      <c r="O191" s="3"/>
      <c r="P191" s="4"/>
    </row>
    <row r="192" spans="1:16" ht="23.1" customHeight="1">
      <c r="A192" s="3">
        <v>191</v>
      </c>
      <c r="B192" s="5">
        <v>39</v>
      </c>
      <c r="C192" s="4" t="s">
        <v>82</v>
      </c>
      <c r="D192" s="6">
        <v>1</v>
      </c>
      <c r="E192" s="8">
        <f>IF(OR($I192="",$D192=""),"",IFERROR(IF(VLOOKUP($I192,Sessions!$A$2:$W$21,2,FALSE)="","",VLOOKUP($I192,Sessions!$A$2:$W$21,2,FALSE)),""))</f>
        <v>46268</v>
      </c>
      <c r="F192" s="9">
        <v>0.78194444444444444</v>
      </c>
      <c r="G192" s="3" t="str">
        <f>IF(OR($I192="",$D192=""),"",IFERROR(IF(VLOOKUP($I192,Sessions!$A$2:$W$21,5,FALSE)="","",VLOOKUP($I192,Sessions!$A$2:$W$21,5,FALSE)),""))</f>
        <v>Timmy D. Bell</v>
      </c>
      <c r="H192" s="3" t="s">
        <v>18</v>
      </c>
      <c r="I192" s="4">
        <v>1</v>
      </c>
      <c r="J192" s="7">
        <f>IF(OR($I192="",$D192=""),"",IFERROR(IF(VLOOKUP($I192,Sessions!$A$2:$W$21,13,FALSE)="","",VLOOKUP($I192,Sessions!$A$2:$W$21,13,FALSE)),""))</f>
        <v>1</v>
      </c>
      <c r="K192" s="7">
        <f>IF(OR($I192="",$D192=""),"",IFERROR(IF(VLOOKUP($I192,Sessions!$A$2:$W$21,20,FALSE)="","",VLOOKUP($I192,Sessions!$A$2:$W$21,20,FALSE)),""))</f>
        <v>1</v>
      </c>
      <c r="L192" s="3"/>
      <c r="M192" s="3"/>
      <c r="N192" s="3"/>
      <c r="O192" s="3"/>
      <c r="P192" s="4"/>
    </row>
    <row r="193" spans="1:16" ht="23.1" customHeight="1">
      <c r="A193" s="3">
        <v>192</v>
      </c>
      <c r="B193" s="5">
        <v>212</v>
      </c>
      <c r="C193" s="4" t="s">
        <v>82</v>
      </c>
      <c r="D193" s="6">
        <v>1.0004999999999999</v>
      </c>
      <c r="E193" s="8">
        <f>IF(OR($I193="",$D193=""),"",IFERROR(IF(VLOOKUP($I193,Sessions!$A$2:$W$21,2,FALSE)="","",VLOOKUP($I193,Sessions!$A$2:$W$21,2,FALSE)),""))</f>
        <v>46268</v>
      </c>
      <c r="F193" s="9">
        <v>0.78263888888888888</v>
      </c>
      <c r="G193" s="3" t="str">
        <f>IF(OR($I193="",$D193=""),"",IFERROR(IF(VLOOKUP($I193,Sessions!$A$2:$W$21,5,FALSE)="","",VLOOKUP($I193,Sessions!$A$2:$W$21,5,FALSE)),""))</f>
        <v>Timmy D. Bell</v>
      </c>
      <c r="H193" s="3" t="s">
        <v>18</v>
      </c>
      <c r="I193" s="4">
        <v>1</v>
      </c>
      <c r="J193" s="7">
        <f>IF(OR($I193="",$D193=""),"",IFERROR(IF(VLOOKUP($I193,Sessions!$A$2:$W$21,13,FALSE)="","",VLOOKUP($I193,Sessions!$A$2:$W$21,13,FALSE)),""))</f>
        <v>1</v>
      </c>
      <c r="K193" s="7">
        <f>IF(OR($I193="",$D193=""),"",IFERROR(IF(VLOOKUP($I193,Sessions!$A$2:$W$21,20,FALSE)="","",VLOOKUP($I193,Sessions!$A$2:$W$21,20,FALSE)),""))</f>
        <v>1</v>
      </c>
      <c r="L193" s="3"/>
      <c r="M193" s="3"/>
      <c r="N193" s="3"/>
      <c r="O193" s="3"/>
      <c r="P193" s="4"/>
    </row>
    <row r="194" spans="1:16" ht="23.1" customHeight="1">
      <c r="A194" s="3">
        <v>193</v>
      </c>
      <c r="B194" s="5">
        <v>153</v>
      </c>
      <c r="C194" s="4" t="s">
        <v>82</v>
      </c>
      <c r="D194" s="6">
        <v>1.0024999999999999</v>
      </c>
      <c r="E194" s="8">
        <f>IF(OR($I194="",$D194=""),"",IFERROR(IF(VLOOKUP($I194,Sessions!$A$2:$W$21,2,FALSE)="","",VLOOKUP($I194,Sessions!$A$2:$W$21,2,FALSE)),""))</f>
        <v>46268</v>
      </c>
      <c r="F194" s="9">
        <v>0.78263888888888888</v>
      </c>
      <c r="G194" s="3" t="str">
        <f>IF(OR($I194="",$D194=""),"",IFERROR(IF(VLOOKUP($I194,Sessions!$A$2:$W$21,5,FALSE)="","",VLOOKUP($I194,Sessions!$A$2:$W$21,5,FALSE)),""))</f>
        <v>Timmy D. Bell</v>
      </c>
      <c r="H194" s="3" t="s">
        <v>18</v>
      </c>
      <c r="I194" s="4">
        <v>1</v>
      </c>
      <c r="J194" s="7">
        <f>IF(OR($I194="",$D194=""),"",IFERROR(IF(VLOOKUP($I194,Sessions!$A$2:$W$21,13,FALSE)="","",VLOOKUP($I194,Sessions!$A$2:$W$21,13,FALSE)),""))</f>
        <v>1</v>
      </c>
      <c r="K194" s="7">
        <f>IF(OR($I194="",$D194=""),"",IFERROR(IF(VLOOKUP($I194,Sessions!$A$2:$W$21,20,FALSE)="","",VLOOKUP($I194,Sessions!$A$2:$W$21,20,FALSE)),""))</f>
        <v>1</v>
      </c>
      <c r="L194" s="3"/>
      <c r="M194" s="3"/>
      <c r="N194" s="3"/>
      <c r="O194" s="3"/>
      <c r="P194" s="4"/>
    </row>
    <row r="195" spans="1:16" ht="23.1" customHeight="1">
      <c r="A195" s="3">
        <v>194</v>
      </c>
      <c r="B195" s="5">
        <v>142</v>
      </c>
      <c r="C195" s="4" t="s">
        <v>82</v>
      </c>
      <c r="D195" s="6">
        <v>0.99850000000000005</v>
      </c>
      <c r="E195" s="8">
        <f>IF(OR($I195="",$D195=""),"",IFERROR(IF(VLOOKUP($I195,Sessions!$A$2:$W$21,2,FALSE)="","",VLOOKUP($I195,Sessions!$A$2:$W$21,2,FALSE)),""))</f>
        <v>46268</v>
      </c>
      <c r="F195" s="9">
        <v>0.78263888888888888</v>
      </c>
      <c r="G195" s="3" t="str">
        <f>IF(OR($I195="",$D195=""),"",IFERROR(IF(VLOOKUP($I195,Sessions!$A$2:$W$21,5,FALSE)="","",VLOOKUP($I195,Sessions!$A$2:$W$21,5,FALSE)),""))</f>
        <v>Timmy D. Bell</v>
      </c>
      <c r="H195" s="3" t="s">
        <v>18</v>
      </c>
      <c r="I195" s="4">
        <v>1</v>
      </c>
      <c r="J195" s="7">
        <f>IF(OR($I195="",$D195=""),"",IFERROR(IF(VLOOKUP($I195,Sessions!$A$2:$W$21,13,FALSE)="","",VLOOKUP($I195,Sessions!$A$2:$W$21,13,FALSE)),""))</f>
        <v>1</v>
      </c>
      <c r="K195" s="7">
        <f>IF(OR($I195="",$D195=""),"",IFERROR(IF(VLOOKUP($I195,Sessions!$A$2:$W$21,20,FALSE)="","",VLOOKUP($I195,Sessions!$A$2:$W$21,20,FALSE)),""))</f>
        <v>1</v>
      </c>
      <c r="L195" s="3"/>
      <c r="M195" s="3"/>
      <c r="N195" s="3"/>
      <c r="O195" s="3"/>
      <c r="P195" s="4"/>
    </row>
    <row r="196" spans="1:16" ht="23.1" customHeight="1">
      <c r="A196" s="3">
        <v>195</v>
      </c>
      <c r="B196" s="5">
        <v>143</v>
      </c>
      <c r="C196" s="4" t="s">
        <v>82</v>
      </c>
      <c r="D196" s="6">
        <v>0.99</v>
      </c>
      <c r="E196" s="8">
        <f>IF(OR($I196="",$D196=""),"",IFERROR(IF(VLOOKUP($I196,Sessions!$A$2:$W$21,2,FALSE)="","",VLOOKUP($I196,Sessions!$A$2:$W$21,2,FALSE)),""))</f>
        <v>46268</v>
      </c>
      <c r="F196" s="9">
        <v>0.78333333333333333</v>
      </c>
      <c r="G196" s="3" t="str">
        <f>IF(OR($I196="",$D196=""),"",IFERROR(IF(VLOOKUP($I196,Sessions!$A$2:$W$21,5,FALSE)="","",VLOOKUP($I196,Sessions!$A$2:$W$21,5,FALSE)),""))</f>
        <v>Timmy D. Bell</v>
      </c>
      <c r="H196" s="3" t="s">
        <v>18</v>
      </c>
      <c r="I196" s="4">
        <v>1</v>
      </c>
      <c r="J196" s="7">
        <f>IF(OR($I196="",$D196=""),"",IFERROR(IF(VLOOKUP($I196,Sessions!$A$2:$W$21,13,FALSE)="","",VLOOKUP($I196,Sessions!$A$2:$W$21,13,FALSE)),""))</f>
        <v>1</v>
      </c>
      <c r="K196" s="7">
        <f>IF(OR($I196="",$D196=""),"",IFERROR(IF(VLOOKUP($I196,Sessions!$A$2:$W$21,20,FALSE)="","",VLOOKUP($I196,Sessions!$A$2:$W$21,20,FALSE)),""))</f>
        <v>1</v>
      </c>
      <c r="L196" s="3"/>
      <c r="M196" s="3"/>
      <c r="N196" s="3"/>
      <c r="O196" s="3"/>
      <c r="P196" s="4"/>
    </row>
    <row r="197" spans="1:16" ht="23.1" customHeight="1">
      <c r="A197" s="3">
        <v>196</v>
      </c>
      <c r="B197" s="5">
        <v>8</v>
      </c>
      <c r="C197" s="4" t="s">
        <v>82</v>
      </c>
      <c r="D197" s="6">
        <v>1.01</v>
      </c>
      <c r="E197" s="8">
        <f>IF(OR($I197="",$D197=""),"",IFERROR(IF(VLOOKUP($I197,Sessions!$A$2:$W$21,2,FALSE)="","",VLOOKUP($I197,Sessions!$A$2:$W$21,2,FALSE)),""))</f>
        <v>46268</v>
      </c>
      <c r="F197" s="9">
        <v>0.78333333333333333</v>
      </c>
      <c r="G197" s="3" t="str">
        <f>IF(OR($I197="",$D197=""),"",IFERROR(IF(VLOOKUP($I197,Sessions!$A$2:$W$21,5,FALSE)="","",VLOOKUP($I197,Sessions!$A$2:$W$21,5,FALSE)),""))</f>
        <v>Timmy D. Bell</v>
      </c>
      <c r="H197" s="3" t="s">
        <v>18</v>
      </c>
      <c r="I197" s="4">
        <v>1</v>
      </c>
      <c r="J197" s="7">
        <f>IF(OR($I197="",$D197=""),"",IFERROR(IF(VLOOKUP($I197,Sessions!$A$2:$W$21,13,FALSE)="","",VLOOKUP($I197,Sessions!$A$2:$W$21,13,FALSE)),""))</f>
        <v>1</v>
      </c>
      <c r="K197" s="7">
        <f>IF(OR($I197="",$D197=""),"",IFERROR(IF(VLOOKUP($I197,Sessions!$A$2:$W$21,20,FALSE)="","",VLOOKUP($I197,Sessions!$A$2:$W$21,20,FALSE)),""))</f>
        <v>1</v>
      </c>
      <c r="L197" s="3"/>
      <c r="M197" s="3"/>
      <c r="N197" s="3"/>
      <c r="O197" s="3"/>
      <c r="P197" s="4"/>
    </row>
    <row r="198" spans="1:16" ht="23.1" customHeight="1">
      <c r="A198" s="3">
        <v>197</v>
      </c>
      <c r="B198" s="5">
        <v>205</v>
      </c>
      <c r="C198" s="4" t="s">
        <v>82</v>
      </c>
      <c r="D198" s="6">
        <v>0.98299999999999998</v>
      </c>
      <c r="E198" s="8">
        <f>IF(OR($I198="",$D198=""),"",IFERROR(IF(VLOOKUP($I198,Sessions!$A$2:$W$21,2,FALSE)="","",VLOOKUP($I198,Sessions!$A$2:$W$21,2,FALSE)),""))</f>
        <v>46268</v>
      </c>
      <c r="F198" s="9">
        <v>0.78402777777777777</v>
      </c>
      <c r="G198" s="3" t="str">
        <f>IF(OR($I198="",$D198=""),"",IFERROR(IF(VLOOKUP($I198,Sessions!$A$2:$W$21,5,FALSE)="","",VLOOKUP($I198,Sessions!$A$2:$W$21,5,FALSE)),""))</f>
        <v>Timmy D. Bell</v>
      </c>
      <c r="H198" s="3" t="s">
        <v>18</v>
      </c>
      <c r="I198" s="4">
        <v>1</v>
      </c>
      <c r="J198" s="7">
        <f>IF(OR($I198="",$D198=""),"",IFERROR(IF(VLOOKUP($I198,Sessions!$A$2:$W$21,13,FALSE)="","",VLOOKUP($I198,Sessions!$A$2:$W$21,13,FALSE)),""))</f>
        <v>1</v>
      </c>
      <c r="K198" s="7">
        <f>IF(OR($I198="",$D198=""),"",IFERROR(IF(VLOOKUP($I198,Sessions!$A$2:$W$21,20,FALSE)="","",VLOOKUP($I198,Sessions!$A$2:$W$21,20,FALSE)),""))</f>
        <v>1</v>
      </c>
      <c r="L198" s="3"/>
      <c r="M198" s="3"/>
      <c r="N198" s="3"/>
      <c r="O198" s="3"/>
      <c r="P198" s="4"/>
    </row>
    <row r="199" spans="1:16" ht="23.1" customHeight="1">
      <c r="A199" s="3">
        <v>198</v>
      </c>
      <c r="B199" s="5">
        <v>45</v>
      </c>
      <c r="C199" s="4" t="s">
        <v>82</v>
      </c>
      <c r="D199" s="6">
        <v>0.999</v>
      </c>
      <c r="E199" s="8">
        <f>IF(OR($I199="",$D199=""),"",IFERROR(IF(VLOOKUP($I199,Sessions!$A$2:$W$21,2,FALSE)="","",VLOOKUP($I199,Sessions!$A$2:$W$21,2,FALSE)),""))</f>
        <v>46268</v>
      </c>
      <c r="F199" s="9">
        <v>0.78402777777777777</v>
      </c>
      <c r="G199" s="3" t="str">
        <f>IF(OR($I199="",$D199=""),"",IFERROR(IF(VLOOKUP($I199,Sessions!$A$2:$W$21,5,FALSE)="","",VLOOKUP($I199,Sessions!$A$2:$W$21,5,FALSE)),""))</f>
        <v>Timmy D. Bell</v>
      </c>
      <c r="H199" s="3" t="s">
        <v>18</v>
      </c>
      <c r="I199" s="4">
        <v>1</v>
      </c>
      <c r="J199" s="7">
        <f>IF(OR($I199="",$D199=""),"",IFERROR(IF(VLOOKUP($I199,Sessions!$A$2:$W$21,13,FALSE)="","",VLOOKUP($I199,Sessions!$A$2:$W$21,13,FALSE)),""))</f>
        <v>1</v>
      </c>
      <c r="K199" s="7">
        <f>IF(OR($I199="",$D199=""),"",IFERROR(IF(VLOOKUP($I199,Sessions!$A$2:$W$21,20,FALSE)="","",VLOOKUP($I199,Sessions!$A$2:$W$21,20,FALSE)),""))</f>
        <v>1</v>
      </c>
      <c r="L199" s="3"/>
      <c r="M199" s="3"/>
      <c r="N199" s="3"/>
      <c r="O199" s="3"/>
      <c r="P199" s="4"/>
    </row>
    <row r="200" spans="1:16" ht="23.1" customHeight="1">
      <c r="A200" s="3">
        <v>199</v>
      </c>
      <c r="B200" s="5">
        <v>34</v>
      </c>
      <c r="C200" s="4" t="s">
        <v>82</v>
      </c>
      <c r="D200" s="6">
        <v>1.0004999999999999</v>
      </c>
      <c r="E200" s="8">
        <f>IF(OR($I200="",$D200=""),"",IFERROR(IF(VLOOKUP($I200,Sessions!$A$2:$W$21,2,FALSE)="","",VLOOKUP($I200,Sessions!$A$2:$W$21,2,FALSE)),""))</f>
        <v>46268</v>
      </c>
      <c r="F200" s="9">
        <v>0.78402777777777777</v>
      </c>
      <c r="G200" s="3" t="str">
        <f>IF(OR($I200="",$D200=""),"",IFERROR(IF(VLOOKUP($I200,Sessions!$A$2:$W$21,5,FALSE)="","",VLOOKUP($I200,Sessions!$A$2:$W$21,5,FALSE)),""))</f>
        <v>Timmy D. Bell</v>
      </c>
      <c r="H200" s="3" t="s">
        <v>18</v>
      </c>
      <c r="I200" s="4">
        <v>1</v>
      </c>
      <c r="J200" s="7">
        <f>IF(OR($I200="",$D200=""),"",IFERROR(IF(VLOOKUP($I200,Sessions!$A$2:$W$21,13,FALSE)="","",VLOOKUP($I200,Sessions!$A$2:$W$21,13,FALSE)),""))</f>
        <v>1</v>
      </c>
      <c r="K200" s="7">
        <f>IF(OR($I200="",$D200=""),"",IFERROR(IF(VLOOKUP($I200,Sessions!$A$2:$W$21,20,FALSE)="","",VLOOKUP($I200,Sessions!$A$2:$W$21,20,FALSE)),""))</f>
        <v>1</v>
      </c>
      <c r="L200" s="3"/>
      <c r="M200" s="3"/>
      <c r="N200" s="3"/>
      <c r="O200" s="3"/>
      <c r="P200" s="4"/>
    </row>
    <row r="201" spans="1:16" ht="23.1" customHeight="1">
      <c r="A201" s="3">
        <v>200</v>
      </c>
      <c r="B201" s="5">
        <v>122</v>
      </c>
      <c r="C201" s="4" t="s">
        <v>82</v>
      </c>
      <c r="D201" s="6">
        <v>1.004</v>
      </c>
      <c r="E201" s="8">
        <f>IF(OR($I201="",$D201=""),"",IFERROR(IF(VLOOKUP($I201,Sessions!$A$2:$W$21,2,FALSE)="","",VLOOKUP($I201,Sessions!$A$2:$W$21,2,FALSE)),""))</f>
        <v>46268</v>
      </c>
      <c r="F201" s="9">
        <v>0.78402777777777777</v>
      </c>
      <c r="G201" s="3" t="str">
        <f>IF(OR($I201="",$D201=""),"",IFERROR(IF(VLOOKUP($I201,Sessions!$A$2:$W$21,5,FALSE)="","",VLOOKUP($I201,Sessions!$A$2:$W$21,5,FALSE)),""))</f>
        <v>Timmy D. Bell</v>
      </c>
      <c r="H201" s="3" t="s">
        <v>18</v>
      </c>
      <c r="I201" s="4">
        <v>1</v>
      </c>
      <c r="J201" s="7">
        <f>IF(OR($I201="",$D201=""),"",IFERROR(IF(VLOOKUP($I201,Sessions!$A$2:$W$21,13,FALSE)="","",VLOOKUP($I201,Sessions!$A$2:$W$21,13,FALSE)),""))</f>
        <v>1</v>
      </c>
      <c r="K201" s="7">
        <f>IF(OR($I201="",$D201=""),"",IFERROR(IF(VLOOKUP($I201,Sessions!$A$2:$W$21,20,FALSE)="","",VLOOKUP($I201,Sessions!$A$2:$W$21,20,FALSE)),""))</f>
        <v>1</v>
      </c>
      <c r="L201" s="3"/>
      <c r="M201" s="3"/>
      <c r="N201" s="3"/>
      <c r="O201" s="3"/>
      <c r="P201" s="4"/>
    </row>
    <row r="202" spans="1:16" ht="23.1" customHeight="1">
      <c r="A202" s="3">
        <v>201</v>
      </c>
      <c r="B202" s="5">
        <v>168</v>
      </c>
      <c r="C202" s="4" t="s">
        <v>82</v>
      </c>
      <c r="D202" s="6">
        <v>0.99950000000000006</v>
      </c>
      <c r="E202" s="8">
        <f>IF(OR($I202="",$D202=""),"",IFERROR(IF(VLOOKUP($I202,Sessions!$A$2:$W$21,2,FALSE)="","",VLOOKUP($I202,Sessions!$A$2:$W$21,2,FALSE)),""))</f>
        <v>46268</v>
      </c>
      <c r="F202" s="9">
        <v>0.78472222222222221</v>
      </c>
      <c r="G202" s="3" t="str">
        <f>IF(OR($I202="",$D202=""),"",IFERROR(IF(VLOOKUP($I202,Sessions!$A$2:$W$21,5,FALSE)="","",VLOOKUP($I202,Sessions!$A$2:$W$21,5,FALSE)),""))</f>
        <v>Timmy D. Bell</v>
      </c>
      <c r="H202" s="3" t="s">
        <v>18</v>
      </c>
      <c r="I202" s="4">
        <v>1</v>
      </c>
      <c r="J202" s="7">
        <f>IF(OR($I202="",$D202=""),"",IFERROR(IF(VLOOKUP($I202,Sessions!$A$2:$W$21,13,FALSE)="","",VLOOKUP($I202,Sessions!$A$2:$W$21,13,FALSE)),""))</f>
        <v>1</v>
      </c>
      <c r="K202" s="7">
        <f>IF(OR($I202="",$D202=""),"",IFERROR(IF(VLOOKUP($I202,Sessions!$A$2:$W$21,20,FALSE)="","",VLOOKUP($I202,Sessions!$A$2:$W$21,20,FALSE)),""))</f>
        <v>1</v>
      </c>
      <c r="L202" s="3"/>
      <c r="M202" s="3"/>
      <c r="N202" s="3"/>
      <c r="O202" s="3"/>
      <c r="P202" s="4"/>
    </row>
    <row r="203" spans="1:16" ht="23.1" customHeight="1">
      <c r="A203" s="3">
        <v>202</v>
      </c>
      <c r="B203" s="5">
        <v>219</v>
      </c>
      <c r="C203" s="4" t="s">
        <v>82</v>
      </c>
      <c r="D203" s="6">
        <v>1.0145</v>
      </c>
      <c r="E203" s="8">
        <f>IF(OR($I203="",$D203=""),"",IFERROR(IF(VLOOKUP($I203,Sessions!$A$2:$W$21,2,FALSE)="","",VLOOKUP($I203,Sessions!$A$2:$W$21,2,FALSE)),""))</f>
        <v>46268</v>
      </c>
      <c r="F203" s="9">
        <v>0.78472222222222221</v>
      </c>
      <c r="G203" s="3" t="str">
        <f>IF(OR($I203="",$D203=""),"",IFERROR(IF(VLOOKUP($I203,Sessions!$A$2:$W$21,5,FALSE)="","",VLOOKUP($I203,Sessions!$A$2:$W$21,5,FALSE)),""))</f>
        <v>Timmy D. Bell</v>
      </c>
      <c r="H203" s="3" t="s">
        <v>18</v>
      </c>
      <c r="I203" s="4">
        <v>1</v>
      </c>
      <c r="J203" s="7">
        <f>IF(OR($I203="",$D203=""),"",IFERROR(IF(VLOOKUP($I203,Sessions!$A$2:$W$21,13,FALSE)="","",VLOOKUP($I203,Sessions!$A$2:$W$21,13,FALSE)),""))</f>
        <v>1</v>
      </c>
      <c r="K203" s="7">
        <f>IF(OR($I203="",$D203=""),"",IFERROR(IF(VLOOKUP($I203,Sessions!$A$2:$W$21,20,FALSE)="","",VLOOKUP($I203,Sessions!$A$2:$W$21,20,FALSE)),""))</f>
        <v>1</v>
      </c>
      <c r="L203" s="3"/>
      <c r="M203" s="3"/>
      <c r="N203" s="3"/>
      <c r="O203" s="3"/>
      <c r="P203" s="4"/>
    </row>
    <row r="204" spans="1:16" ht="23.1" customHeight="1">
      <c r="A204" s="3">
        <v>203</v>
      </c>
      <c r="B204" s="5">
        <v>64</v>
      </c>
      <c r="C204" s="4" t="s">
        <v>82</v>
      </c>
      <c r="D204" s="6">
        <v>1.004</v>
      </c>
      <c r="E204" s="8">
        <f>IF(OR($I204="",$D204=""),"",IFERROR(IF(VLOOKUP($I204,Sessions!$A$2:$W$21,2,FALSE)="","",VLOOKUP($I204,Sessions!$A$2:$W$21,2,FALSE)),""))</f>
        <v>46268</v>
      </c>
      <c r="F204" s="9">
        <v>0.78472222222222221</v>
      </c>
      <c r="G204" s="3" t="str">
        <f>IF(OR($I204="",$D204=""),"",IFERROR(IF(VLOOKUP($I204,Sessions!$A$2:$W$21,5,FALSE)="","",VLOOKUP($I204,Sessions!$A$2:$W$21,5,FALSE)),""))</f>
        <v>Timmy D. Bell</v>
      </c>
      <c r="H204" s="3" t="s">
        <v>18</v>
      </c>
      <c r="I204" s="4">
        <v>1</v>
      </c>
      <c r="J204" s="7">
        <f>IF(OR($I204="",$D204=""),"",IFERROR(IF(VLOOKUP($I204,Sessions!$A$2:$W$21,13,FALSE)="","",VLOOKUP($I204,Sessions!$A$2:$W$21,13,FALSE)),""))</f>
        <v>1</v>
      </c>
      <c r="K204" s="7">
        <f>IF(OR($I204="",$D204=""),"",IFERROR(IF(VLOOKUP($I204,Sessions!$A$2:$W$21,20,FALSE)="","",VLOOKUP($I204,Sessions!$A$2:$W$21,20,FALSE)),""))</f>
        <v>1</v>
      </c>
      <c r="L204" s="3"/>
      <c r="M204" s="3"/>
      <c r="N204" s="3"/>
      <c r="O204" s="3"/>
      <c r="P204" s="4"/>
    </row>
    <row r="205" spans="1:16" ht="23.1" customHeight="1">
      <c r="A205" s="3">
        <v>204</v>
      </c>
      <c r="B205" s="5">
        <v>101</v>
      </c>
      <c r="C205" s="4" t="s">
        <v>82</v>
      </c>
      <c r="D205" s="6">
        <v>1.0085</v>
      </c>
      <c r="E205" s="8">
        <f>IF(OR($I205="",$D205=""),"",IFERROR(IF(VLOOKUP($I205,Sessions!$A$2:$W$21,2,FALSE)="","",VLOOKUP($I205,Sessions!$A$2:$W$21,2,FALSE)),""))</f>
        <v>46268</v>
      </c>
      <c r="F205" s="9">
        <v>0.78541666666666665</v>
      </c>
      <c r="G205" s="3" t="str">
        <f>IF(OR($I205="",$D205=""),"",IFERROR(IF(VLOOKUP($I205,Sessions!$A$2:$W$21,5,FALSE)="","",VLOOKUP($I205,Sessions!$A$2:$W$21,5,FALSE)),""))</f>
        <v>Timmy D. Bell</v>
      </c>
      <c r="H205" s="3" t="s">
        <v>18</v>
      </c>
      <c r="I205" s="4">
        <v>1</v>
      </c>
      <c r="J205" s="7">
        <f>IF(OR($I205="",$D205=""),"",IFERROR(IF(VLOOKUP($I205,Sessions!$A$2:$W$21,13,FALSE)="","",VLOOKUP($I205,Sessions!$A$2:$W$21,13,FALSE)),""))</f>
        <v>1</v>
      </c>
      <c r="K205" s="7">
        <f>IF(OR($I205="",$D205=""),"",IFERROR(IF(VLOOKUP($I205,Sessions!$A$2:$W$21,20,FALSE)="","",VLOOKUP($I205,Sessions!$A$2:$W$21,20,FALSE)),""))</f>
        <v>1</v>
      </c>
      <c r="L205" s="3"/>
      <c r="M205" s="3"/>
      <c r="N205" s="3"/>
      <c r="O205" s="3"/>
      <c r="P205" s="4"/>
    </row>
    <row r="206" spans="1:16" ht="23.1" customHeight="1">
      <c r="A206" s="3">
        <v>205</v>
      </c>
      <c r="B206" s="5">
        <v>170</v>
      </c>
      <c r="C206" s="4" t="s">
        <v>82</v>
      </c>
      <c r="D206" s="6">
        <v>0.99950000000000006</v>
      </c>
      <c r="E206" s="8">
        <f>IF(OR($I206="",$D206=""),"",IFERROR(IF(VLOOKUP($I206,Sessions!$A$2:$W$21,2,FALSE)="","",VLOOKUP($I206,Sessions!$A$2:$W$21,2,FALSE)),""))</f>
        <v>46268</v>
      </c>
      <c r="F206" s="9">
        <v>0.78541666666666665</v>
      </c>
      <c r="G206" s="3" t="str">
        <f>IF(OR($I206="",$D206=""),"",IFERROR(IF(VLOOKUP($I206,Sessions!$A$2:$W$21,5,FALSE)="","",VLOOKUP($I206,Sessions!$A$2:$W$21,5,FALSE)),""))</f>
        <v>Timmy D. Bell</v>
      </c>
      <c r="H206" s="3" t="s">
        <v>18</v>
      </c>
      <c r="I206" s="4">
        <v>1</v>
      </c>
      <c r="J206" s="7">
        <f>IF(OR($I206="",$D206=""),"",IFERROR(IF(VLOOKUP($I206,Sessions!$A$2:$W$21,13,FALSE)="","",VLOOKUP($I206,Sessions!$A$2:$W$21,13,FALSE)),""))</f>
        <v>1</v>
      </c>
      <c r="K206" s="7">
        <f>IF(OR($I206="",$D206=""),"",IFERROR(IF(VLOOKUP($I206,Sessions!$A$2:$W$21,20,FALSE)="","",VLOOKUP($I206,Sessions!$A$2:$W$21,20,FALSE)),""))</f>
        <v>1</v>
      </c>
      <c r="L206" s="3"/>
      <c r="M206" s="3"/>
      <c r="N206" s="3"/>
      <c r="O206" s="3"/>
      <c r="P206" s="4"/>
    </row>
    <row r="207" spans="1:16" ht="23.1" customHeight="1">
      <c r="A207" s="3">
        <v>206</v>
      </c>
      <c r="B207" s="5">
        <v>38</v>
      </c>
      <c r="C207" s="4" t="s">
        <v>82</v>
      </c>
      <c r="D207" s="6">
        <v>1.0095000000000001</v>
      </c>
      <c r="E207" s="8">
        <f>IF(OR($I207="",$D207=""),"",IFERROR(IF(VLOOKUP($I207,Sessions!$A$2:$W$21,2,FALSE)="","",VLOOKUP($I207,Sessions!$A$2:$W$21,2,FALSE)),""))</f>
        <v>46268</v>
      </c>
      <c r="F207" s="9">
        <v>0.78541666666666665</v>
      </c>
      <c r="G207" s="3" t="str">
        <f>IF(OR($I207="",$D207=""),"",IFERROR(IF(VLOOKUP($I207,Sessions!$A$2:$W$21,5,FALSE)="","",VLOOKUP($I207,Sessions!$A$2:$W$21,5,FALSE)),""))</f>
        <v>Timmy D. Bell</v>
      </c>
      <c r="H207" s="3" t="s">
        <v>18</v>
      </c>
      <c r="I207" s="4">
        <v>1</v>
      </c>
      <c r="J207" s="7">
        <f>IF(OR($I207="",$D207=""),"",IFERROR(IF(VLOOKUP($I207,Sessions!$A$2:$W$21,13,FALSE)="","",VLOOKUP($I207,Sessions!$A$2:$W$21,13,FALSE)),""))</f>
        <v>1</v>
      </c>
      <c r="K207" s="7">
        <f>IF(OR($I207="",$D207=""),"",IFERROR(IF(VLOOKUP($I207,Sessions!$A$2:$W$21,20,FALSE)="","",VLOOKUP($I207,Sessions!$A$2:$W$21,20,FALSE)),""))</f>
        <v>1</v>
      </c>
      <c r="L207" s="3"/>
      <c r="M207" s="3"/>
      <c r="N207" s="3"/>
      <c r="O207" s="3"/>
      <c r="P207" s="4"/>
    </row>
    <row r="208" spans="1:16" ht="23.1" customHeight="1">
      <c r="A208" s="3">
        <v>207</v>
      </c>
      <c r="B208" s="5">
        <v>22</v>
      </c>
      <c r="C208" s="4" t="s">
        <v>82</v>
      </c>
      <c r="D208" s="6">
        <v>1.002</v>
      </c>
      <c r="E208" s="8">
        <f>IF(OR($I208="",$D208=""),"",IFERROR(IF(VLOOKUP($I208,Sessions!$A$2:$W$21,2,FALSE)="","",VLOOKUP($I208,Sessions!$A$2:$W$21,2,FALSE)),""))</f>
        <v>46268</v>
      </c>
      <c r="F208" s="9">
        <v>0.78611111111111109</v>
      </c>
      <c r="G208" s="3" t="str">
        <f>IF(OR($I208="",$D208=""),"",IFERROR(IF(VLOOKUP($I208,Sessions!$A$2:$W$21,5,FALSE)="","",VLOOKUP($I208,Sessions!$A$2:$W$21,5,FALSE)),""))</f>
        <v>Timmy D. Bell</v>
      </c>
      <c r="H208" s="3" t="s">
        <v>18</v>
      </c>
      <c r="I208" s="4">
        <v>1</v>
      </c>
      <c r="J208" s="7">
        <f>IF(OR($I208="",$D208=""),"",IFERROR(IF(VLOOKUP($I208,Sessions!$A$2:$W$21,13,FALSE)="","",VLOOKUP($I208,Sessions!$A$2:$W$21,13,FALSE)),""))</f>
        <v>1</v>
      </c>
      <c r="K208" s="7">
        <f>IF(OR($I208="",$D208=""),"",IFERROR(IF(VLOOKUP($I208,Sessions!$A$2:$W$21,20,FALSE)="","",VLOOKUP($I208,Sessions!$A$2:$W$21,20,FALSE)),""))</f>
        <v>1</v>
      </c>
      <c r="L208" s="3"/>
      <c r="M208" s="3"/>
      <c r="N208" s="3"/>
      <c r="O208" s="3"/>
      <c r="P208" s="4"/>
    </row>
    <row r="209" spans="1:16" ht="23.1" customHeight="1">
      <c r="A209" s="3">
        <v>208</v>
      </c>
      <c r="B209" s="5">
        <v>162</v>
      </c>
      <c r="C209" s="4" t="s">
        <v>82</v>
      </c>
      <c r="D209" s="6">
        <v>1.0009999999999999</v>
      </c>
      <c r="E209" s="8">
        <f>IF(OR($I209="",$D209=""),"",IFERROR(IF(VLOOKUP($I209,Sessions!$A$2:$W$21,2,FALSE)="","",VLOOKUP($I209,Sessions!$A$2:$W$21,2,FALSE)),""))</f>
        <v>46268</v>
      </c>
      <c r="F209" s="9">
        <v>0.78611111111111109</v>
      </c>
      <c r="G209" s="3" t="str">
        <f>IF(OR($I209="",$D209=""),"",IFERROR(IF(VLOOKUP($I209,Sessions!$A$2:$W$21,5,FALSE)="","",VLOOKUP($I209,Sessions!$A$2:$W$21,5,FALSE)),""))</f>
        <v>Timmy D. Bell</v>
      </c>
      <c r="H209" s="3" t="s">
        <v>18</v>
      </c>
      <c r="I209" s="4">
        <v>1</v>
      </c>
      <c r="J209" s="7">
        <f>IF(OR($I209="",$D209=""),"",IFERROR(IF(VLOOKUP($I209,Sessions!$A$2:$W$21,13,FALSE)="","",VLOOKUP($I209,Sessions!$A$2:$W$21,13,FALSE)),""))</f>
        <v>1</v>
      </c>
      <c r="K209" s="7">
        <f>IF(OR($I209="",$D209=""),"",IFERROR(IF(VLOOKUP($I209,Sessions!$A$2:$W$21,20,FALSE)="","",VLOOKUP($I209,Sessions!$A$2:$W$21,20,FALSE)),""))</f>
        <v>1</v>
      </c>
      <c r="L209" s="3"/>
      <c r="M209" s="3"/>
      <c r="N209" s="3"/>
      <c r="O209" s="3"/>
      <c r="P209" s="4"/>
    </row>
    <row r="210" spans="1:16" ht="23.1" customHeight="1">
      <c r="A210" s="3">
        <v>209</v>
      </c>
      <c r="B210" s="5">
        <v>136</v>
      </c>
      <c r="C210" s="4" t="s">
        <v>82</v>
      </c>
      <c r="D210" s="6">
        <v>1.026</v>
      </c>
      <c r="E210" s="8">
        <f>IF(OR($I210="",$D210=""),"",IFERROR(IF(VLOOKUP($I210,Sessions!$A$2:$W$21,2,FALSE)="","",VLOOKUP($I210,Sessions!$A$2:$W$21,2,FALSE)),""))</f>
        <v>46268</v>
      </c>
      <c r="F210" s="9">
        <v>0.78611111111111109</v>
      </c>
      <c r="G210" s="3" t="str">
        <f>IF(OR($I210="",$D210=""),"",IFERROR(IF(VLOOKUP($I210,Sessions!$A$2:$W$21,5,FALSE)="","",VLOOKUP($I210,Sessions!$A$2:$W$21,5,FALSE)),""))</f>
        <v>Timmy D. Bell</v>
      </c>
      <c r="H210" s="3" t="s">
        <v>18</v>
      </c>
      <c r="I210" s="4">
        <v>1</v>
      </c>
      <c r="J210" s="7">
        <f>IF(OR($I210="",$D210=""),"",IFERROR(IF(VLOOKUP($I210,Sessions!$A$2:$W$21,13,FALSE)="","",VLOOKUP($I210,Sessions!$A$2:$W$21,13,FALSE)),""))</f>
        <v>1</v>
      </c>
      <c r="K210" s="7">
        <f>IF(OR($I210="",$D210=""),"",IFERROR(IF(VLOOKUP($I210,Sessions!$A$2:$W$21,20,FALSE)="","",VLOOKUP($I210,Sessions!$A$2:$W$21,20,FALSE)),""))</f>
        <v>1</v>
      </c>
      <c r="L210" s="3"/>
      <c r="M210" s="3"/>
      <c r="N210" s="3"/>
      <c r="O210" s="3"/>
      <c r="P210" s="4"/>
    </row>
    <row r="211" spans="1:16" ht="23.1" customHeight="1">
      <c r="A211" s="3">
        <v>210</v>
      </c>
      <c r="B211" s="5">
        <v>46</v>
      </c>
      <c r="C211" s="4" t="s">
        <v>82</v>
      </c>
      <c r="D211" s="6">
        <v>1.0049999999999999</v>
      </c>
      <c r="E211" s="8">
        <f>IF(OR($I211="",$D211=""),"",IFERROR(IF(VLOOKUP($I211,Sessions!$A$2:$W$21,2,FALSE)="","",VLOOKUP($I211,Sessions!$A$2:$W$21,2,FALSE)),""))</f>
        <v>46268</v>
      </c>
      <c r="F211" s="9">
        <v>0.78680555555555554</v>
      </c>
      <c r="G211" s="3" t="str">
        <f>IF(OR($I211="",$D211=""),"",IFERROR(IF(VLOOKUP($I211,Sessions!$A$2:$W$21,5,FALSE)="","",VLOOKUP($I211,Sessions!$A$2:$W$21,5,FALSE)),""))</f>
        <v>Timmy D. Bell</v>
      </c>
      <c r="H211" s="3" t="s">
        <v>18</v>
      </c>
      <c r="I211" s="4">
        <v>1</v>
      </c>
      <c r="J211" s="7">
        <f>IF(OR($I211="",$D211=""),"",IFERROR(IF(VLOOKUP($I211,Sessions!$A$2:$W$21,13,FALSE)="","",VLOOKUP($I211,Sessions!$A$2:$W$21,13,FALSE)),""))</f>
        <v>1</v>
      </c>
      <c r="K211" s="7">
        <f>IF(OR($I211="",$D211=""),"",IFERROR(IF(VLOOKUP($I211,Sessions!$A$2:$W$21,20,FALSE)="","",VLOOKUP($I211,Sessions!$A$2:$W$21,20,FALSE)),""))</f>
        <v>1</v>
      </c>
      <c r="L211" s="3"/>
      <c r="M211" s="3"/>
      <c r="N211" s="3"/>
      <c r="O211" s="3"/>
      <c r="P211" s="4"/>
    </row>
    <row r="212" spans="1:16" ht="23.1" customHeight="1">
      <c r="A212" s="3">
        <v>211</v>
      </c>
      <c r="B212" s="5">
        <v>182</v>
      </c>
      <c r="C212" s="4" t="s">
        <v>82</v>
      </c>
      <c r="D212" s="6">
        <v>1.0029999999999999</v>
      </c>
      <c r="E212" s="8">
        <f>IF(OR($I212="",$D212=""),"",IFERROR(IF(VLOOKUP($I212,Sessions!$A$2:$W$21,2,FALSE)="","",VLOOKUP($I212,Sessions!$A$2:$W$21,2,FALSE)),""))</f>
        <v>46268</v>
      </c>
      <c r="F212" s="9">
        <v>0.78680555555555554</v>
      </c>
      <c r="G212" s="3" t="str">
        <f>IF(OR($I212="",$D212=""),"",IFERROR(IF(VLOOKUP($I212,Sessions!$A$2:$W$21,5,FALSE)="","",VLOOKUP($I212,Sessions!$A$2:$W$21,5,FALSE)),""))</f>
        <v>Timmy D. Bell</v>
      </c>
      <c r="H212" s="3" t="s">
        <v>18</v>
      </c>
      <c r="I212" s="4">
        <v>1</v>
      </c>
      <c r="J212" s="7">
        <f>IF(OR($I212="",$D212=""),"",IFERROR(IF(VLOOKUP($I212,Sessions!$A$2:$W$21,13,FALSE)="","",VLOOKUP($I212,Sessions!$A$2:$W$21,13,FALSE)),""))</f>
        <v>1</v>
      </c>
      <c r="K212" s="7">
        <f>IF(OR($I212="",$D212=""),"",IFERROR(IF(VLOOKUP($I212,Sessions!$A$2:$W$21,20,FALSE)="","",VLOOKUP($I212,Sessions!$A$2:$W$21,20,FALSE)),""))</f>
        <v>1</v>
      </c>
      <c r="L212" s="3"/>
      <c r="M212" s="3"/>
      <c r="N212" s="3"/>
      <c r="O212" s="3"/>
      <c r="P212" s="4"/>
    </row>
    <row r="213" spans="1:16" ht="23.1" customHeight="1">
      <c r="A213" s="3">
        <v>212</v>
      </c>
      <c r="B213" s="5">
        <v>99</v>
      </c>
      <c r="C213" s="4" t="s">
        <v>82</v>
      </c>
      <c r="D213" s="6">
        <v>0.99050000000000005</v>
      </c>
      <c r="E213" s="8">
        <f>IF(OR($I213="",$D213=""),"",IFERROR(IF(VLOOKUP($I213,Sessions!$A$2:$W$21,2,FALSE)="","",VLOOKUP($I213,Sessions!$A$2:$W$21,2,FALSE)),""))</f>
        <v>46268</v>
      </c>
      <c r="F213" s="9">
        <v>0.78680555555555554</v>
      </c>
      <c r="G213" s="3" t="str">
        <f>IF(OR($I213="",$D213=""),"",IFERROR(IF(VLOOKUP($I213,Sessions!$A$2:$W$21,5,FALSE)="","",VLOOKUP($I213,Sessions!$A$2:$W$21,5,FALSE)),""))</f>
        <v>Timmy D. Bell</v>
      </c>
      <c r="H213" s="3" t="s">
        <v>18</v>
      </c>
      <c r="I213" s="4">
        <v>1</v>
      </c>
      <c r="J213" s="7">
        <f>IF(OR($I213="",$D213=""),"",IFERROR(IF(VLOOKUP($I213,Sessions!$A$2:$W$21,13,FALSE)="","",VLOOKUP($I213,Sessions!$A$2:$W$21,13,FALSE)),""))</f>
        <v>1</v>
      </c>
      <c r="K213" s="7">
        <f>IF(OR($I213="",$D213=""),"",IFERROR(IF(VLOOKUP($I213,Sessions!$A$2:$W$21,20,FALSE)="","",VLOOKUP($I213,Sessions!$A$2:$W$21,20,FALSE)),""))</f>
        <v>1</v>
      </c>
      <c r="L213" s="3"/>
      <c r="M213" s="3"/>
      <c r="N213" s="3"/>
      <c r="O213" s="3"/>
      <c r="P213" s="4"/>
    </row>
    <row r="214" spans="1:16" ht="23.1" customHeight="1">
      <c r="A214" s="3">
        <v>213</v>
      </c>
      <c r="B214" s="5">
        <v>42</v>
      </c>
      <c r="C214" s="4" t="s">
        <v>82</v>
      </c>
      <c r="D214" s="6">
        <v>1.0115000000000001</v>
      </c>
      <c r="E214" s="8">
        <f>IF(OR($I214="",$D214=""),"",IFERROR(IF(VLOOKUP($I214,Sessions!$A$2:$W$21,2,FALSE)="","",VLOOKUP($I214,Sessions!$A$2:$W$21,2,FALSE)),""))</f>
        <v>46268</v>
      </c>
      <c r="F214" s="9">
        <v>0.78749999999999998</v>
      </c>
      <c r="G214" s="3" t="str">
        <f>IF(OR($I214="",$D214=""),"",IFERROR(IF(VLOOKUP($I214,Sessions!$A$2:$W$21,5,FALSE)="","",VLOOKUP($I214,Sessions!$A$2:$W$21,5,FALSE)),""))</f>
        <v>Timmy D. Bell</v>
      </c>
      <c r="H214" s="3" t="s">
        <v>18</v>
      </c>
      <c r="I214" s="4">
        <v>1</v>
      </c>
      <c r="J214" s="7">
        <f>IF(OR($I214="",$D214=""),"",IFERROR(IF(VLOOKUP($I214,Sessions!$A$2:$W$21,13,FALSE)="","",VLOOKUP($I214,Sessions!$A$2:$W$21,13,FALSE)),""))</f>
        <v>1</v>
      </c>
      <c r="K214" s="7">
        <f>IF(OR($I214="",$D214=""),"",IFERROR(IF(VLOOKUP($I214,Sessions!$A$2:$W$21,20,FALSE)="","",VLOOKUP($I214,Sessions!$A$2:$W$21,20,FALSE)),""))</f>
        <v>1</v>
      </c>
      <c r="L214" s="3"/>
      <c r="M214" s="3"/>
      <c r="N214" s="3"/>
      <c r="O214" s="3"/>
      <c r="P214" s="4"/>
    </row>
    <row r="215" spans="1:16" ht="23.1" customHeight="1">
      <c r="A215" s="3">
        <v>214</v>
      </c>
      <c r="B215" s="5">
        <v>109</v>
      </c>
      <c r="C215" s="4" t="s">
        <v>82</v>
      </c>
      <c r="D215" s="6">
        <v>0.99250000000000005</v>
      </c>
      <c r="E215" s="8">
        <f>IF(OR($I215="",$D215=""),"",IFERROR(IF(VLOOKUP($I215,Sessions!$A$2:$W$21,2,FALSE)="","",VLOOKUP($I215,Sessions!$A$2:$W$21,2,FALSE)),""))</f>
        <v>46268</v>
      </c>
      <c r="F215" s="9">
        <v>0.78749999999999998</v>
      </c>
      <c r="G215" s="3" t="str">
        <f>IF(OR($I215="",$D215=""),"",IFERROR(IF(VLOOKUP($I215,Sessions!$A$2:$W$21,5,FALSE)="","",VLOOKUP($I215,Sessions!$A$2:$W$21,5,FALSE)),""))</f>
        <v>Timmy D. Bell</v>
      </c>
      <c r="H215" s="3" t="s">
        <v>18</v>
      </c>
      <c r="I215" s="4">
        <v>1</v>
      </c>
      <c r="J215" s="7">
        <f>IF(OR($I215="",$D215=""),"",IFERROR(IF(VLOOKUP($I215,Sessions!$A$2:$W$21,13,FALSE)="","",VLOOKUP($I215,Sessions!$A$2:$W$21,13,FALSE)),""))</f>
        <v>1</v>
      </c>
      <c r="K215" s="7">
        <f>IF(OR($I215="",$D215=""),"",IFERROR(IF(VLOOKUP($I215,Sessions!$A$2:$W$21,20,FALSE)="","",VLOOKUP($I215,Sessions!$A$2:$W$21,20,FALSE)),""))</f>
        <v>1</v>
      </c>
      <c r="L215" s="3"/>
      <c r="M215" s="3"/>
      <c r="N215" s="3"/>
      <c r="O215" s="3"/>
      <c r="P215" s="4"/>
    </row>
    <row r="216" spans="1:16" ht="23.1" customHeight="1">
      <c r="A216" s="3">
        <v>215</v>
      </c>
      <c r="B216" s="5">
        <v>69</v>
      </c>
      <c r="C216" s="4" t="s">
        <v>82</v>
      </c>
      <c r="D216" s="6">
        <v>1.01</v>
      </c>
      <c r="E216" s="8">
        <f>IF(OR($I216="",$D216=""),"",IFERROR(IF(VLOOKUP($I216,Sessions!$A$2:$W$21,2,FALSE)="","",VLOOKUP($I216,Sessions!$A$2:$W$21,2,FALSE)),""))</f>
        <v>46268</v>
      </c>
      <c r="F216" s="9">
        <v>0.78749999999999998</v>
      </c>
      <c r="G216" s="3" t="str">
        <f>IF(OR($I216="",$D216=""),"",IFERROR(IF(VLOOKUP($I216,Sessions!$A$2:$W$21,5,FALSE)="","",VLOOKUP($I216,Sessions!$A$2:$W$21,5,FALSE)),""))</f>
        <v>Timmy D. Bell</v>
      </c>
      <c r="H216" s="3" t="s">
        <v>18</v>
      </c>
      <c r="I216" s="4">
        <v>1</v>
      </c>
      <c r="J216" s="7">
        <f>IF(OR($I216="",$D216=""),"",IFERROR(IF(VLOOKUP($I216,Sessions!$A$2:$W$21,13,FALSE)="","",VLOOKUP($I216,Sessions!$A$2:$W$21,13,FALSE)),""))</f>
        <v>1</v>
      </c>
      <c r="K216" s="7">
        <f>IF(OR($I216="",$D216=""),"",IFERROR(IF(VLOOKUP($I216,Sessions!$A$2:$W$21,20,FALSE)="","",VLOOKUP($I216,Sessions!$A$2:$W$21,20,FALSE)),""))</f>
        <v>1</v>
      </c>
      <c r="L216" s="3"/>
      <c r="M216" s="3"/>
      <c r="N216" s="3"/>
      <c r="O216" s="3"/>
      <c r="P216" s="4"/>
    </row>
    <row r="217" spans="1:16" ht="23.1" customHeight="1">
      <c r="A217" s="3">
        <v>216</v>
      </c>
      <c r="B217" s="5">
        <v>191</v>
      </c>
      <c r="C217" s="4" t="s">
        <v>82</v>
      </c>
      <c r="D217" s="6">
        <v>0.99099999999999999</v>
      </c>
      <c r="E217" s="8">
        <f>IF(OR($I217="",$D217=""),"",IFERROR(IF(VLOOKUP($I217,Sessions!$A$2:$W$21,2,FALSE)="","",VLOOKUP($I217,Sessions!$A$2:$W$21,2,FALSE)),""))</f>
        <v>46268</v>
      </c>
      <c r="F217" s="9">
        <v>0.78749999999999998</v>
      </c>
      <c r="G217" s="3" t="str">
        <f>IF(OR($I217="",$D217=""),"",IFERROR(IF(VLOOKUP($I217,Sessions!$A$2:$W$21,5,FALSE)="","",VLOOKUP($I217,Sessions!$A$2:$W$21,5,FALSE)),""))</f>
        <v>Timmy D. Bell</v>
      </c>
      <c r="H217" s="3" t="s">
        <v>18</v>
      </c>
      <c r="I217" s="4">
        <v>1</v>
      </c>
      <c r="J217" s="7">
        <f>IF(OR($I217="",$D217=""),"",IFERROR(IF(VLOOKUP($I217,Sessions!$A$2:$W$21,13,FALSE)="","",VLOOKUP($I217,Sessions!$A$2:$W$21,13,FALSE)),""))</f>
        <v>1</v>
      </c>
      <c r="K217" s="7">
        <f>IF(OR($I217="",$D217=""),"",IFERROR(IF(VLOOKUP($I217,Sessions!$A$2:$W$21,20,FALSE)="","",VLOOKUP($I217,Sessions!$A$2:$W$21,20,FALSE)),""))</f>
        <v>1</v>
      </c>
      <c r="L217" s="3"/>
      <c r="M217" s="3"/>
      <c r="N217" s="3"/>
      <c r="O217" s="3"/>
      <c r="P217" s="4"/>
    </row>
    <row r="218" spans="1:16" ht="23.1" customHeight="1">
      <c r="A218" s="3">
        <v>217</v>
      </c>
      <c r="B218" s="5">
        <v>206</v>
      </c>
      <c r="C218" s="4" t="s">
        <v>82</v>
      </c>
      <c r="D218" s="6">
        <v>1.0009999999999999</v>
      </c>
      <c r="E218" s="8">
        <f>IF(OR($I218="",$D218=""),"",IFERROR(IF(VLOOKUP($I218,Sessions!$A$2:$W$21,2,FALSE)="","",VLOOKUP($I218,Sessions!$A$2:$W$21,2,FALSE)),""))</f>
        <v>46268</v>
      </c>
      <c r="F218" s="9">
        <v>0.78819444444444442</v>
      </c>
      <c r="G218" s="3" t="str">
        <f>IF(OR($I218="",$D218=""),"",IFERROR(IF(VLOOKUP($I218,Sessions!$A$2:$W$21,5,FALSE)="","",VLOOKUP($I218,Sessions!$A$2:$W$21,5,FALSE)),""))</f>
        <v>Timmy D. Bell</v>
      </c>
      <c r="H218" s="3" t="s">
        <v>18</v>
      </c>
      <c r="I218" s="4">
        <v>1</v>
      </c>
      <c r="J218" s="7">
        <f>IF(OR($I218="",$D218=""),"",IFERROR(IF(VLOOKUP($I218,Sessions!$A$2:$W$21,13,FALSE)="","",VLOOKUP($I218,Sessions!$A$2:$W$21,13,FALSE)),""))</f>
        <v>1</v>
      </c>
      <c r="K218" s="7">
        <f>IF(OR($I218="",$D218=""),"",IFERROR(IF(VLOOKUP($I218,Sessions!$A$2:$W$21,20,FALSE)="","",VLOOKUP($I218,Sessions!$A$2:$W$21,20,FALSE)),""))</f>
        <v>1</v>
      </c>
      <c r="L218" s="3"/>
      <c r="M218" s="3"/>
      <c r="N218" s="3"/>
      <c r="O218" s="3"/>
      <c r="P218" s="4"/>
    </row>
    <row r="219" spans="1:16" ht="23.1" customHeight="1">
      <c r="A219" s="3">
        <v>218</v>
      </c>
      <c r="B219" s="5">
        <v>81</v>
      </c>
      <c r="C219" s="4" t="s">
        <v>82</v>
      </c>
      <c r="D219" s="6">
        <v>0.99950000000000006</v>
      </c>
      <c r="E219" s="8">
        <f>IF(OR($I219="",$D219=""),"",IFERROR(IF(VLOOKUP($I219,Sessions!$A$2:$W$21,2,FALSE)="","",VLOOKUP($I219,Sessions!$A$2:$W$21,2,FALSE)),""))</f>
        <v>46268</v>
      </c>
      <c r="F219" s="9">
        <v>0.78819444444444442</v>
      </c>
      <c r="G219" s="3" t="str">
        <f>IF(OR($I219="",$D219=""),"",IFERROR(IF(VLOOKUP($I219,Sessions!$A$2:$W$21,5,FALSE)="","",VLOOKUP($I219,Sessions!$A$2:$W$21,5,FALSE)),""))</f>
        <v>Timmy D. Bell</v>
      </c>
      <c r="H219" s="3" t="s">
        <v>18</v>
      </c>
      <c r="I219" s="4">
        <v>1</v>
      </c>
      <c r="J219" s="7">
        <f>IF(OR($I219="",$D219=""),"",IFERROR(IF(VLOOKUP($I219,Sessions!$A$2:$W$21,13,FALSE)="","",VLOOKUP($I219,Sessions!$A$2:$W$21,13,FALSE)),""))</f>
        <v>1</v>
      </c>
      <c r="K219" s="7">
        <f>IF(OR($I219="",$D219=""),"",IFERROR(IF(VLOOKUP($I219,Sessions!$A$2:$W$21,20,FALSE)="","",VLOOKUP($I219,Sessions!$A$2:$W$21,20,FALSE)),""))</f>
        <v>1</v>
      </c>
      <c r="L219" s="3"/>
      <c r="M219" s="3"/>
      <c r="N219" s="3"/>
      <c r="O219" s="3"/>
      <c r="P219" s="4"/>
    </row>
    <row r="220" spans="1:16" ht="23.1" customHeight="1">
      <c r="A220" s="3">
        <v>219</v>
      </c>
      <c r="B220" s="5">
        <v>49</v>
      </c>
      <c r="C220" s="4" t="s">
        <v>82</v>
      </c>
      <c r="D220" s="6">
        <v>0.99850000000000005</v>
      </c>
      <c r="E220" s="8">
        <f>IF(OR($I220="",$D220=""),"",IFERROR(IF(VLOOKUP($I220,Sessions!$A$2:$W$21,2,FALSE)="","",VLOOKUP($I220,Sessions!$A$2:$W$21,2,FALSE)),""))</f>
        <v>46268</v>
      </c>
      <c r="F220" s="9">
        <v>0.78888888888888886</v>
      </c>
      <c r="G220" s="3" t="str">
        <f>IF(OR($I220="",$D220=""),"",IFERROR(IF(VLOOKUP($I220,Sessions!$A$2:$W$21,5,FALSE)="","",VLOOKUP($I220,Sessions!$A$2:$W$21,5,FALSE)),""))</f>
        <v>Timmy D. Bell</v>
      </c>
      <c r="H220" s="3" t="s">
        <v>18</v>
      </c>
      <c r="I220" s="4">
        <v>1</v>
      </c>
      <c r="J220" s="7">
        <f>IF(OR($I220="",$D220=""),"",IFERROR(IF(VLOOKUP($I220,Sessions!$A$2:$W$21,13,FALSE)="","",VLOOKUP($I220,Sessions!$A$2:$W$21,13,FALSE)),""))</f>
        <v>1</v>
      </c>
      <c r="K220" s="7">
        <f>IF(OR($I220="",$D220=""),"",IFERROR(IF(VLOOKUP($I220,Sessions!$A$2:$W$21,20,FALSE)="","",VLOOKUP($I220,Sessions!$A$2:$W$21,20,FALSE)),""))</f>
        <v>1</v>
      </c>
      <c r="L220" s="3"/>
      <c r="M220" s="3"/>
      <c r="N220" s="3"/>
      <c r="O220" s="3"/>
      <c r="P220" s="4"/>
    </row>
    <row r="221" spans="1:16" ht="23.1" customHeight="1">
      <c r="A221" s="3">
        <v>220</v>
      </c>
      <c r="B221" s="5">
        <v>23</v>
      </c>
      <c r="C221" s="4" t="s">
        <v>82</v>
      </c>
      <c r="D221" s="6">
        <v>0.99550000000000005</v>
      </c>
      <c r="E221" s="8">
        <f>IF(OR($I221="",$D221=""),"",IFERROR(IF(VLOOKUP($I221,Sessions!$A$2:$W$21,2,FALSE)="","",VLOOKUP($I221,Sessions!$A$2:$W$21,2,FALSE)),""))</f>
        <v>46268</v>
      </c>
      <c r="F221" s="9">
        <v>0.78888888888888886</v>
      </c>
      <c r="G221" s="3" t="str">
        <f>IF(OR($I221="",$D221=""),"",IFERROR(IF(VLOOKUP($I221,Sessions!$A$2:$W$21,5,FALSE)="","",VLOOKUP($I221,Sessions!$A$2:$W$21,5,FALSE)),""))</f>
        <v>Timmy D. Bell</v>
      </c>
      <c r="H221" s="3" t="s">
        <v>18</v>
      </c>
      <c r="I221" s="4">
        <v>1</v>
      </c>
      <c r="J221" s="7">
        <f>IF(OR($I221="",$D221=""),"",IFERROR(IF(VLOOKUP($I221,Sessions!$A$2:$W$21,13,FALSE)="","",VLOOKUP($I221,Sessions!$A$2:$W$21,13,FALSE)),""))</f>
        <v>1</v>
      </c>
      <c r="K221" s="7">
        <f>IF(OR($I221="",$D221=""),"",IFERROR(IF(VLOOKUP($I221,Sessions!$A$2:$W$21,20,FALSE)="","",VLOOKUP($I221,Sessions!$A$2:$W$21,20,FALSE)),""))</f>
        <v>1</v>
      </c>
      <c r="L221" s="3"/>
      <c r="M221" s="3"/>
      <c r="N221" s="3"/>
      <c r="O221" s="3"/>
      <c r="P221" s="4"/>
    </row>
    <row r="222" spans="1:16" ht="23.1" customHeight="1">
      <c r="A222" s="3">
        <v>221</v>
      </c>
      <c r="B222" s="5">
        <v>57</v>
      </c>
      <c r="C222" s="4" t="s">
        <v>82</v>
      </c>
      <c r="D222" s="6">
        <v>0.998</v>
      </c>
      <c r="E222" s="8">
        <f>IF(OR($I222="",$D222=""),"",IFERROR(IF(VLOOKUP($I222,Sessions!$A$2:$W$21,2,FALSE)="","",VLOOKUP($I222,Sessions!$A$2:$W$21,2,FALSE)),""))</f>
        <v>46268</v>
      </c>
      <c r="F222" s="9">
        <v>0.7895833333333333</v>
      </c>
      <c r="G222" s="3" t="str">
        <f>IF(OR($I222="",$D222=""),"",IFERROR(IF(VLOOKUP($I222,Sessions!$A$2:$W$21,5,FALSE)="","",VLOOKUP($I222,Sessions!$A$2:$W$21,5,FALSE)),""))</f>
        <v>Timmy D. Bell</v>
      </c>
      <c r="H222" s="3" t="s">
        <v>18</v>
      </c>
      <c r="I222" s="4">
        <v>1</v>
      </c>
      <c r="J222" s="7">
        <f>IF(OR($I222="",$D222=""),"",IFERROR(IF(VLOOKUP($I222,Sessions!$A$2:$W$21,13,FALSE)="","",VLOOKUP($I222,Sessions!$A$2:$W$21,13,FALSE)),""))</f>
        <v>1</v>
      </c>
      <c r="K222" s="7">
        <f>IF(OR($I222="",$D222=""),"",IFERROR(IF(VLOOKUP($I222,Sessions!$A$2:$W$21,20,FALSE)="","",VLOOKUP($I222,Sessions!$A$2:$W$21,20,FALSE)),""))</f>
        <v>1</v>
      </c>
      <c r="L222" s="3"/>
      <c r="M222" s="3"/>
      <c r="N222" s="3"/>
      <c r="O222" s="3"/>
      <c r="P222" s="4"/>
    </row>
    <row r="223" spans="1:16" ht="23.1" customHeight="1">
      <c r="A223" s="3">
        <v>222</v>
      </c>
      <c r="B223" s="5">
        <v>67</v>
      </c>
      <c r="C223" s="4" t="s">
        <v>82</v>
      </c>
      <c r="D223" s="6">
        <v>1.0029999999999999</v>
      </c>
      <c r="E223" s="8">
        <f>IF(OR($I223="",$D223=""),"",IFERROR(IF(VLOOKUP($I223,Sessions!$A$2:$W$21,2,FALSE)="","",VLOOKUP($I223,Sessions!$A$2:$W$21,2,FALSE)),""))</f>
        <v>46268</v>
      </c>
      <c r="F223" s="9">
        <v>0.7895833333333333</v>
      </c>
      <c r="G223" s="3" t="str">
        <f>IF(OR($I223="",$D223=""),"",IFERROR(IF(VLOOKUP($I223,Sessions!$A$2:$W$21,5,FALSE)="","",VLOOKUP($I223,Sessions!$A$2:$W$21,5,FALSE)),""))</f>
        <v>Timmy D. Bell</v>
      </c>
      <c r="H223" s="3" t="s">
        <v>18</v>
      </c>
      <c r="I223" s="4">
        <v>1</v>
      </c>
      <c r="J223" s="7">
        <f>IF(OR($I223="",$D223=""),"",IFERROR(IF(VLOOKUP($I223,Sessions!$A$2:$W$21,13,FALSE)="","",VLOOKUP($I223,Sessions!$A$2:$W$21,13,FALSE)),""))</f>
        <v>1</v>
      </c>
      <c r="K223" s="7">
        <f>IF(OR($I223="",$D223=""),"",IFERROR(IF(VLOOKUP($I223,Sessions!$A$2:$W$21,20,FALSE)="","",VLOOKUP($I223,Sessions!$A$2:$W$21,20,FALSE)),""))</f>
        <v>1</v>
      </c>
      <c r="L223" s="3"/>
      <c r="M223" s="3"/>
      <c r="N223" s="3"/>
      <c r="O223" s="3"/>
      <c r="P223" s="4"/>
    </row>
    <row r="224" spans="1:16" ht="23.1" customHeight="1">
      <c r="A224" s="3">
        <v>223</v>
      </c>
      <c r="B224" s="5">
        <v>149</v>
      </c>
      <c r="C224" s="4" t="s">
        <v>82</v>
      </c>
      <c r="D224" s="6">
        <v>0.99950000000000006</v>
      </c>
      <c r="E224" s="8">
        <f>IF(OR($I224="",$D224=""),"",IFERROR(IF(VLOOKUP($I224,Sessions!$A$2:$W$21,2,FALSE)="","",VLOOKUP($I224,Sessions!$A$2:$W$21,2,FALSE)),""))</f>
        <v>46268</v>
      </c>
      <c r="F224" s="9">
        <v>0.79027777777777775</v>
      </c>
      <c r="G224" s="3" t="str">
        <f>IF(OR($I224="",$D224=""),"",IFERROR(IF(VLOOKUP($I224,Sessions!$A$2:$W$21,5,FALSE)="","",VLOOKUP($I224,Sessions!$A$2:$W$21,5,FALSE)),""))</f>
        <v>Timmy D. Bell</v>
      </c>
      <c r="H224" s="3" t="s">
        <v>18</v>
      </c>
      <c r="I224" s="4">
        <v>1</v>
      </c>
      <c r="J224" s="7">
        <f>IF(OR($I224="",$D224=""),"",IFERROR(IF(VLOOKUP($I224,Sessions!$A$2:$W$21,13,FALSE)="","",VLOOKUP($I224,Sessions!$A$2:$W$21,13,FALSE)),""))</f>
        <v>1</v>
      </c>
      <c r="K224" s="7">
        <f>IF(OR($I224="",$D224=""),"",IFERROR(IF(VLOOKUP($I224,Sessions!$A$2:$W$21,20,FALSE)="","",VLOOKUP($I224,Sessions!$A$2:$W$21,20,FALSE)),""))</f>
        <v>1</v>
      </c>
      <c r="L224" s="3"/>
      <c r="M224" s="3"/>
      <c r="N224" s="3"/>
      <c r="O224" s="3"/>
      <c r="P224" s="4"/>
    </row>
    <row r="225" spans="1:16" ht="23.1" customHeight="1">
      <c r="A225" s="3">
        <v>224</v>
      </c>
      <c r="B225" s="5">
        <v>102</v>
      </c>
      <c r="C225" s="4" t="s">
        <v>82</v>
      </c>
      <c r="D225" s="6">
        <v>0.99950000000000006</v>
      </c>
      <c r="E225" s="8">
        <f>IF(OR($I225="",$D225=""),"",IFERROR(IF(VLOOKUP($I225,Sessions!$A$2:$W$21,2,FALSE)="","",VLOOKUP($I225,Sessions!$A$2:$W$21,2,FALSE)),""))</f>
        <v>46268</v>
      </c>
      <c r="F225" s="9">
        <v>0.79027777777777775</v>
      </c>
      <c r="G225" s="3" t="str">
        <f>IF(OR($I225="",$D225=""),"",IFERROR(IF(VLOOKUP($I225,Sessions!$A$2:$W$21,5,FALSE)="","",VLOOKUP($I225,Sessions!$A$2:$W$21,5,FALSE)),""))</f>
        <v>Timmy D. Bell</v>
      </c>
      <c r="H225" s="3" t="s">
        <v>18</v>
      </c>
      <c r="I225" s="4">
        <v>1</v>
      </c>
      <c r="J225" s="7">
        <f>IF(OR($I225="",$D225=""),"",IFERROR(IF(VLOOKUP($I225,Sessions!$A$2:$W$21,13,FALSE)="","",VLOOKUP($I225,Sessions!$A$2:$W$21,13,FALSE)),""))</f>
        <v>1</v>
      </c>
      <c r="K225" s="7">
        <f>IF(OR($I225="",$D225=""),"",IFERROR(IF(VLOOKUP($I225,Sessions!$A$2:$W$21,20,FALSE)="","",VLOOKUP($I225,Sessions!$A$2:$W$21,20,FALSE)),""))</f>
        <v>1</v>
      </c>
      <c r="L225" s="3"/>
      <c r="M225" s="3"/>
      <c r="N225" s="3"/>
      <c r="O225" s="3"/>
      <c r="P225" s="4"/>
    </row>
    <row r="226" spans="1:16" ht="23.1" customHeight="1">
      <c r="A226" s="3">
        <v>225</v>
      </c>
      <c r="B226" s="5">
        <v>167</v>
      </c>
      <c r="C226" s="4" t="s">
        <v>82</v>
      </c>
      <c r="D226" s="6">
        <v>1.0024999999999999</v>
      </c>
      <c r="E226" s="8">
        <f>IF(OR($I226="",$D226=""),"",IFERROR(IF(VLOOKUP($I226,Sessions!$A$2:$W$21,2,FALSE)="","",VLOOKUP($I226,Sessions!$A$2:$W$21,2,FALSE)),""))</f>
        <v>46268</v>
      </c>
      <c r="F226" s="9">
        <v>0.79027777777777775</v>
      </c>
      <c r="G226" s="3" t="str">
        <f>IF(OR($I226="",$D226=""),"",IFERROR(IF(VLOOKUP($I226,Sessions!$A$2:$W$21,5,FALSE)="","",VLOOKUP($I226,Sessions!$A$2:$W$21,5,FALSE)),""))</f>
        <v>Timmy D. Bell</v>
      </c>
      <c r="H226" s="3" t="s">
        <v>18</v>
      </c>
      <c r="I226" s="4">
        <v>1</v>
      </c>
      <c r="J226" s="7">
        <f>IF(OR($I226="",$D226=""),"",IFERROR(IF(VLOOKUP($I226,Sessions!$A$2:$W$21,13,FALSE)="","",VLOOKUP($I226,Sessions!$A$2:$W$21,13,FALSE)),""))</f>
        <v>1</v>
      </c>
      <c r="K226" s="7">
        <f>IF(OR($I226="",$D226=""),"",IFERROR(IF(VLOOKUP($I226,Sessions!$A$2:$W$21,20,FALSE)="","",VLOOKUP($I226,Sessions!$A$2:$W$21,20,FALSE)),""))</f>
        <v>1</v>
      </c>
      <c r="L226" s="3"/>
      <c r="M226" s="3"/>
      <c r="N226" s="3"/>
      <c r="O226" s="3"/>
      <c r="P226" s="4"/>
    </row>
    <row r="227" spans="1:16" ht="23.1" customHeight="1">
      <c r="A227" s="3">
        <v>226</v>
      </c>
      <c r="B227" s="5">
        <v>141</v>
      </c>
      <c r="C227" s="4" t="s">
        <v>82</v>
      </c>
      <c r="D227" s="6">
        <v>1.0029999999999999</v>
      </c>
      <c r="E227" s="8">
        <f>IF(OR($I227="",$D227=""),"",IFERROR(IF(VLOOKUP($I227,Sessions!$A$2:$W$21,2,FALSE)="","",VLOOKUP($I227,Sessions!$A$2:$W$21,2,FALSE)),""))</f>
        <v>46268</v>
      </c>
      <c r="F227" s="9">
        <v>0.79027777777777775</v>
      </c>
      <c r="G227" s="3" t="str">
        <f>IF(OR($I227="",$D227=""),"",IFERROR(IF(VLOOKUP($I227,Sessions!$A$2:$W$21,5,FALSE)="","",VLOOKUP($I227,Sessions!$A$2:$W$21,5,FALSE)),""))</f>
        <v>Timmy D. Bell</v>
      </c>
      <c r="H227" s="3" t="s">
        <v>18</v>
      </c>
      <c r="I227" s="4">
        <v>1</v>
      </c>
      <c r="J227" s="7">
        <f>IF(OR($I227="",$D227=""),"",IFERROR(IF(VLOOKUP($I227,Sessions!$A$2:$W$21,13,FALSE)="","",VLOOKUP($I227,Sessions!$A$2:$W$21,13,FALSE)),""))</f>
        <v>1</v>
      </c>
      <c r="K227" s="7">
        <f>IF(OR($I227="",$D227=""),"",IFERROR(IF(VLOOKUP($I227,Sessions!$A$2:$W$21,20,FALSE)="","",VLOOKUP($I227,Sessions!$A$2:$W$21,20,FALSE)),""))</f>
        <v>1</v>
      </c>
      <c r="L227" s="3"/>
      <c r="M227" s="3"/>
      <c r="N227" s="3"/>
      <c r="O227" s="3"/>
      <c r="P227" s="4"/>
    </row>
    <row r="228" spans="1:16" ht="23.1" customHeight="1">
      <c r="A228" s="3">
        <v>227</v>
      </c>
      <c r="B228" s="5">
        <v>132</v>
      </c>
      <c r="C228" s="4" t="s">
        <v>82</v>
      </c>
      <c r="D228" s="6">
        <v>1.0235000000000001</v>
      </c>
      <c r="E228" s="8">
        <f>IF(OR($I228="",$D228=""),"",IFERROR(IF(VLOOKUP($I228,Sessions!$A$2:$W$21,2,FALSE)="","",VLOOKUP($I228,Sessions!$A$2:$W$21,2,FALSE)),""))</f>
        <v>46268</v>
      </c>
      <c r="F228" s="9">
        <v>0.79097222222222219</v>
      </c>
      <c r="G228" s="3" t="str">
        <f>IF(OR($I228="",$D228=""),"",IFERROR(IF(VLOOKUP($I228,Sessions!$A$2:$W$21,5,FALSE)="","",VLOOKUP($I228,Sessions!$A$2:$W$21,5,FALSE)),""))</f>
        <v>Timmy D. Bell</v>
      </c>
      <c r="H228" s="3" t="s">
        <v>18</v>
      </c>
      <c r="I228" s="4">
        <v>1</v>
      </c>
      <c r="J228" s="7">
        <f>IF(OR($I228="",$D228=""),"",IFERROR(IF(VLOOKUP($I228,Sessions!$A$2:$W$21,13,FALSE)="","",VLOOKUP($I228,Sessions!$A$2:$W$21,13,FALSE)),""))</f>
        <v>1</v>
      </c>
      <c r="K228" s="7">
        <f>IF(OR($I228="",$D228=""),"",IFERROR(IF(VLOOKUP($I228,Sessions!$A$2:$W$21,20,FALSE)="","",VLOOKUP($I228,Sessions!$A$2:$W$21,20,FALSE)),""))</f>
        <v>1</v>
      </c>
      <c r="L228" s="3"/>
      <c r="M228" s="3"/>
      <c r="N228" s="3"/>
      <c r="O228" s="3"/>
      <c r="P228" s="4"/>
    </row>
    <row r="229" spans="1:16" ht="23.1" customHeight="1">
      <c r="A229" s="3">
        <v>228</v>
      </c>
      <c r="B229" s="5">
        <v>103</v>
      </c>
      <c r="C229" s="4" t="s">
        <v>82</v>
      </c>
      <c r="D229" s="6">
        <v>0.99950000000000006</v>
      </c>
      <c r="E229" s="8">
        <f>IF(OR($I229="",$D229=""),"",IFERROR(IF(VLOOKUP($I229,Sessions!$A$2:$W$21,2,FALSE)="","",VLOOKUP($I229,Sessions!$A$2:$W$21,2,FALSE)),""))</f>
        <v>46268</v>
      </c>
      <c r="F229" s="9">
        <v>0.79097222222222219</v>
      </c>
      <c r="G229" s="3" t="str">
        <f>IF(OR($I229="",$D229=""),"",IFERROR(IF(VLOOKUP($I229,Sessions!$A$2:$W$21,5,FALSE)="","",VLOOKUP($I229,Sessions!$A$2:$W$21,5,FALSE)),""))</f>
        <v>Timmy D. Bell</v>
      </c>
      <c r="H229" s="3" t="s">
        <v>18</v>
      </c>
      <c r="I229" s="4">
        <v>1</v>
      </c>
      <c r="J229" s="7">
        <f>IF(OR($I229="",$D229=""),"",IFERROR(IF(VLOOKUP($I229,Sessions!$A$2:$W$21,13,FALSE)="","",VLOOKUP($I229,Sessions!$A$2:$W$21,13,FALSE)),""))</f>
        <v>1</v>
      </c>
      <c r="K229" s="7">
        <f>IF(OR($I229="",$D229=""),"",IFERROR(IF(VLOOKUP($I229,Sessions!$A$2:$W$21,20,FALSE)="","",VLOOKUP($I229,Sessions!$A$2:$W$21,20,FALSE)),""))</f>
        <v>1</v>
      </c>
      <c r="L229" s="3"/>
      <c r="M229" s="3"/>
      <c r="N229" s="3"/>
      <c r="O229" s="3"/>
      <c r="P229" s="4"/>
    </row>
    <row r="230" spans="1:16" ht="23.1" customHeight="1">
      <c r="A230" s="3">
        <v>229</v>
      </c>
      <c r="B230" s="5">
        <v>85</v>
      </c>
      <c r="C230" s="4" t="s">
        <v>82</v>
      </c>
      <c r="D230" s="6">
        <v>0.98099999999999998</v>
      </c>
      <c r="E230" s="8">
        <f>IF(OR($I230="",$D230=""),"",IFERROR(IF(VLOOKUP($I230,Sessions!$A$2:$W$21,2,FALSE)="","",VLOOKUP($I230,Sessions!$A$2:$W$21,2,FALSE)),""))</f>
        <v>46268</v>
      </c>
      <c r="F230" s="9">
        <v>0.79097222222222219</v>
      </c>
      <c r="G230" s="3" t="str">
        <f>IF(OR($I230="",$D230=""),"",IFERROR(IF(VLOOKUP($I230,Sessions!$A$2:$W$21,5,FALSE)="","",VLOOKUP($I230,Sessions!$A$2:$W$21,5,FALSE)),""))</f>
        <v>Timmy D. Bell</v>
      </c>
      <c r="H230" s="3" t="s">
        <v>18</v>
      </c>
      <c r="I230" s="4">
        <v>1</v>
      </c>
      <c r="J230" s="7">
        <f>IF(OR($I230="",$D230=""),"",IFERROR(IF(VLOOKUP($I230,Sessions!$A$2:$W$21,13,FALSE)="","",VLOOKUP($I230,Sessions!$A$2:$W$21,13,FALSE)),""))</f>
        <v>1</v>
      </c>
      <c r="K230" s="7">
        <f>IF(OR($I230="",$D230=""),"",IFERROR(IF(VLOOKUP($I230,Sessions!$A$2:$W$21,20,FALSE)="","",VLOOKUP($I230,Sessions!$A$2:$W$21,20,FALSE)),""))</f>
        <v>1</v>
      </c>
      <c r="L230" s="3"/>
      <c r="M230" s="3"/>
      <c r="N230" s="3"/>
      <c r="O230" s="3"/>
      <c r="P230" s="4"/>
    </row>
    <row r="231" spans="1:16" ht="23.1" customHeight="1">
      <c r="A231" s="3">
        <v>230</v>
      </c>
      <c r="B231" s="5">
        <v>222</v>
      </c>
      <c r="C231" s="4" t="s">
        <v>82</v>
      </c>
      <c r="D231" s="6">
        <v>0.97899999999999998</v>
      </c>
      <c r="E231" s="8">
        <f>IF(OR($I231="",$D231=""),"",IFERROR(IF(VLOOKUP($I231,Sessions!$A$2:$W$21,2,FALSE)="","",VLOOKUP($I231,Sessions!$A$2:$W$21,2,FALSE)),""))</f>
        <v>46268</v>
      </c>
      <c r="F231" s="9">
        <v>0.79166666666666663</v>
      </c>
      <c r="G231" s="3" t="str">
        <f>IF(OR($I231="",$D231=""),"",IFERROR(IF(VLOOKUP($I231,Sessions!$A$2:$W$21,5,FALSE)="","",VLOOKUP($I231,Sessions!$A$2:$W$21,5,FALSE)),""))</f>
        <v>Timmy D. Bell</v>
      </c>
      <c r="H231" s="3" t="s">
        <v>18</v>
      </c>
      <c r="I231" s="4">
        <v>1</v>
      </c>
      <c r="J231" s="7">
        <f>IF(OR($I231="",$D231=""),"",IFERROR(IF(VLOOKUP($I231,Sessions!$A$2:$W$21,13,FALSE)="","",VLOOKUP($I231,Sessions!$A$2:$W$21,13,FALSE)),""))</f>
        <v>1</v>
      </c>
      <c r="K231" s="7">
        <f>IF(OR($I231="",$D231=""),"",IFERROR(IF(VLOOKUP($I231,Sessions!$A$2:$W$21,20,FALSE)="","",VLOOKUP($I231,Sessions!$A$2:$W$21,20,FALSE)),""))</f>
        <v>1</v>
      </c>
      <c r="L231" s="3"/>
      <c r="M231" s="3"/>
      <c r="N231" s="3"/>
      <c r="O231" s="3"/>
      <c r="P231" s="4"/>
    </row>
    <row r="232" spans="1:16" ht="23.1" customHeight="1">
      <c r="A232" s="3">
        <v>231</v>
      </c>
      <c r="B232" s="5">
        <v>7</v>
      </c>
      <c r="C232" s="4" t="s">
        <v>82</v>
      </c>
      <c r="D232" s="6">
        <v>0.98099999999999998</v>
      </c>
      <c r="E232" s="8">
        <f>IF(OR($I232="",$D232=""),"",IFERROR(IF(VLOOKUP($I232,Sessions!$A$2:$W$21,2,FALSE)="","",VLOOKUP($I232,Sessions!$A$2:$W$21,2,FALSE)),""))</f>
        <v>46268</v>
      </c>
      <c r="F232" s="9">
        <v>0.79166666666666663</v>
      </c>
      <c r="G232" s="3" t="str">
        <f>IF(OR($I232="",$D232=""),"",IFERROR(IF(VLOOKUP($I232,Sessions!$A$2:$W$21,5,FALSE)="","",VLOOKUP($I232,Sessions!$A$2:$W$21,5,FALSE)),""))</f>
        <v>Timmy D. Bell</v>
      </c>
      <c r="H232" s="3" t="s">
        <v>18</v>
      </c>
      <c r="I232" s="4">
        <v>1</v>
      </c>
      <c r="J232" s="7">
        <f>IF(OR($I232="",$D232=""),"",IFERROR(IF(VLOOKUP($I232,Sessions!$A$2:$W$21,13,FALSE)="","",VLOOKUP($I232,Sessions!$A$2:$W$21,13,FALSE)),""))</f>
        <v>1</v>
      </c>
      <c r="K232" s="7">
        <f>IF(OR($I232="",$D232=""),"",IFERROR(IF(VLOOKUP($I232,Sessions!$A$2:$W$21,20,FALSE)="","",VLOOKUP($I232,Sessions!$A$2:$W$21,20,FALSE)),""))</f>
        <v>1</v>
      </c>
      <c r="L232" s="3"/>
      <c r="M232" s="3"/>
      <c r="N232" s="3"/>
      <c r="O232" s="3"/>
      <c r="P232" s="4"/>
    </row>
    <row r="233" spans="1:16" ht="23.1" customHeight="1">
      <c r="A233" s="3">
        <v>232</v>
      </c>
      <c r="B233" s="5">
        <v>105</v>
      </c>
      <c r="C233" s="4" t="s">
        <v>82</v>
      </c>
      <c r="D233" s="6">
        <v>0.99950000000000006</v>
      </c>
      <c r="E233" s="8">
        <f>IF(OR($I233="",$D233=""),"",IFERROR(IF(VLOOKUP($I233,Sessions!$A$2:$W$21,2,FALSE)="","",VLOOKUP($I233,Sessions!$A$2:$W$21,2,FALSE)),""))</f>
        <v>46268</v>
      </c>
      <c r="F233" s="9">
        <v>0.79166666666666663</v>
      </c>
      <c r="G233" s="3" t="str">
        <f>IF(OR($I233="",$D233=""),"",IFERROR(IF(VLOOKUP($I233,Sessions!$A$2:$W$21,5,FALSE)="","",VLOOKUP($I233,Sessions!$A$2:$W$21,5,FALSE)),""))</f>
        <v>Timmy D. Bell</v>
      </c>
      <c r="H233" s="3" t="s">
        <v>18</v>
      </c>
      <c r="I233" s="4">
        <v>1</v>
      </c>
      <c r="J233" s="7">
        <f>IF(OR($I233="",$D233=""),"",IFERROR(IF(VLOOKUP($I233,Sessions!$A$2:$W$21,13,FALSE)="","",VLOOKUP($I233,Sessions!$A$2:$W$21,13,FALSE)),""))</f>
        <v>1</v>
      </c>
      <c r="K233" s="7">
        <f>IF(OR($I233="",$D233=""),"",IFERROR(IF(VLOOKUP($I233,Sessions!$A$2:$W$21,20,FALSE)="","",VLOOKUP($I233,Sessions!$A$2:$W$21,20,FALSE)),""))</f>
        <v>1</v>
      </c>
      <c r="L233" s="3"/>
      <c r="M233" s="3"/>
      <c r="N233" s="3"/>
      <c r="O233" s="3"/>
      <c r="P233" s="4"/>
    </row>
    <row r="234" spans="1:16" ht="23.1" customHeight="1">
      <c r="A234" s="3">
        <v>233</v>
      </c>
      <c r="B234" s="5">
        <v>221</v>
      </c>
      <c r="C234" s="4" t="s">
        <v>82</v>
      </c>
      <c r="D234" s="6">
        <v>0.99099999999999999</v>
      </c>
      <c r="E234" s="8">
        <f>IF(OR($I234="",$D234=""),"",IFERROR(IF(VLOOKUP($I234,Sessions!$A$2:$W$21,2,FALSE)="","",VLOOKUP($I234,Sessions!$A$2:$W$21,2,FALSE)),""))</f>
        <v>46268</v>
      </c>
      <c r="F234" s="9">
        <v>0.79236111111111107</v>
      </c>
      <c r="G234" s="3" t="str">
        <f>IF(OR($I234="",$D234=""),"",IFERROR(IF(VLOOKUP($I234,Sessions!$A$2:$W$21,5,FALSE)="","",VLOOKUP($I234,Sessions!$A$2:$W$21,5,FALSE)),""))</f>
        <v>Timmy D. Bell</v>
      </c>
      <c r="H234" s="3" t="s">
        <v>18</v>
      </c>
      <c r="I234" s="4">
        <v>1</v>
      </c>
      <c r="J234" s="7">
        <f>IF(OR($I234="",$D234=""),"",IFERROR(IF(VLOOKUP($I234,Sessions!$A$2:$W$21,13,FALSE)="","",VLOOKUP($I234,Sessions!$A$2:$W$21,13,FALSE)),""))</f>
        <v>1</v>
      </c>
      <c r="K234" s="7">
        <f>IF(OR($I234="",$D234=""),"",IFERROR(IF(VLOOKUP($I234,Sessions!$A$2:$W$21,20,FALSE)="","",VLOOKUP($I234,Sessions!$A$2:$W$21,20,FALSE)),""))</f>
        <v>1</v>
      </c>
      <c r="L234" s="3"/>
      <c r="M234" s="3"/>
      <c r="N234" s="3"/>
      <c r="O234" s="3"/>
      <c r="P234" s="4"/>
    </row>
    <row r="235" spans="1:16" ht="23.1" customHeight="1">
      <c r="A235" s="3">
        <v>234</v>
      </c>
      <c r="B235" s="5">
        <v>181</v>
      </c>
      <c r="C235" s="4" t="s">
        <v>82</v>
      </c>
      <c r="D235" s="6">
        <v>1</v>
      </c>
      <c r="E235" s="8">
        <f>IF(OR($I235="",$D235=""),"",IFERROR(IF(VLOOKUP($I235,Sessions!$A$2:$W$21,2,FALSE)="","",VLOOKUP($I235,Sessions!$A$2:$W$21,2,FALSE)),""))</f>
        <v>46268</v>
      </c>
      <c r="F235" s="9">
        <v>0.79236111111111107</v>
      </c>
      <c r="G235" s="3" t="str">
        <f>IF(OR($I235="",$D235=""),"",IFERROR(IF(VLOOKUP($I235,Sessions!$A$2:$W$21,5,FALSE)="","",VLOOKUP($I235,Sessions!$A$2:$W$21,5,FALSE)),""))</f>
        <v>Timmy D. Bell</v>
      </c>
      <c r="H235" s="3" t="s">
        <v>18</v>
      </c>
      <c r="I235" s="4">
        <v>1</v>
      </c>
      <c r="J235" s="7">
        <f>IF(OR($I235="",$D235=""),"",IFERROR(IF(VLOOKUP($I235,Sessions!$A$2:$W$21,13,FALSE)="","",VLOOKUP($I235,Sessions!$A$2:$W$21,13,FALSE)),""))</f>
        <v>1</v>
      </c>
      <c r="K235" s="7">
        <f>IF(OR($I235="",$D235=""),"",IFERROR(IF(VLOOKUP($I235,Sessions!$A$2:$W$21,20,FALSE)="","",VLOOKUP($I235,Sessions!$A$2:$W$21,20,FALSE)),""))</f>
        <v>1</v>
      </c>
      <c r="L235" s="3"/>
      <c r="M235" s="3"/>
      <c r="N235" s="3"/>
      <c r="O235" s="3"/>
      <c r="P235" s="4"/>
    </row>
    <row r="236" spans="1:16" ht="23.1" customHeight="1">
      <c r="A236" s="3">
        <v>235</v>
      </c>
      <c r="B236" s="5">
        <v>146</v>
      </c>
      <c r="C236" s="4" t="s">
        <v>82</v>
      </c>
      <c r="D236" s="6">
        <v>0.99150000000000005</v>
      </c>
      <c r="E236" s="8">
        <f>IF(OR($I236="",$D236=""),"",IFERROR(IF(VLOOKUP($I236,Sessions!$A$2:$W$21,2,FALSE)="","",VLOOKUP($I236,Sessions!$A$2:$W$21,2,FALSE)),""))</f>
        <v>46268</v>
      </c>
      <c r="F236" s="9">
        <v>0.79305555555555551</v>
      </c>
      <c r="G236" s="3" t="str">
        <f>IF(OR($I236="",$D236=""),"",IFERROR(IF(VLOOKUP($I236,Sessions!$A$2:$W$21,5,FALSE)="","",VLOOKUP($I236,Sessions!$A$2:$W$21,5,FALSE)),""))</f>
        <v>Timmy D. Bell</v>
      </c>
      <c r="H236" s="3" t="s">
        <v>18</v>
      </c>
      <c r="I236" s="4">
        <v>1</v>
      </c>
      <c r="J236" s="7">
        <f>IF(OR($I236="",$D236=""),"",IFERROR(IF(VLOOKUP($I236,Sessions!$A$2:$W$21,13,FALSE)="","",VLOOKUP($I236,Sessions!$A$2:$W$21,13,FALSE)),""))</f>
        <v>1</v>
      </c>
      <c r="K236" s="7">
        <f>IF(OR($I236="",$D236=""),"",IFERROR(IF(VLOOKUP($I236,Sessions!$A$2:$W$21,20,FALSE)="","",VLOOKUP($I236,Sessions!$A$2:$W$21,20,FALSE)),""))</f>
        <v>1</v>
      </c>
      <c r="L236" s="3"/>
      <c r="M236" s="3"/>
      <c r="N236" s="3"/>
      <c r="O236" s="3"/>
      <c r="P236" s="4"/>
    </row>
  </sheetData>
  <sortState xmlns:xlrd2="http://schemas.microsoft.com/office/spreadsheetml/2017/richdata2" ref="A2:P236">
    <sortCondition ref="A1:A236"/>
  </sortState>
  <conditionalFormatting sqref="B2:B236">
    <cfRule type="expression" dxfId="4" priority="1">
      <formula>AND(LEN(B2)&gt;0,COUNTIF($B$2:$B$236,B2)&gt;1)</formula>
    </cfRule>
  </conditionalFormatting>
  <conditionalFormatting sqref="C2:I236">
    <cfRule type="expression" dxfId="2" priority="3">
      <formula>AND($D2&lt;&gt;"",OR($C2&lt;&gt;"yes",$F2="",$I2=""))</formula>
    </cfRule>
  </conditionalFormatting>
  <conditionalFormatting sqref="D2:D236">
    <cfRule type="expression" dxfId="1" priority="4">
      <formula>AND(D2&lt;&gt;"",NOT(ISNUMBER(D2)))</formula>
    </cfRule>
  </conditionalFormatting>
  <dataValidations count="2">
    <dataValidation type="list" sqref="C2:C236" xr:uid="{00000000-0002-0000-0100-000000000000}">
      <formula1>"yes,no"</formula1>
    </dataValidation>
    <dataValidation type="whole" sqref="B2:B236" xr:uid="{00000000-0002-0000-0100-000001000000}">
      <formula1>1</formula1>
      <formula2>235</formula2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000000-000E-0000-0100-000002000000}">
            <xm:f>AND(LEN(B2)&gt;0,COUNTIF(Start!$F$48:$F$282,B2)&lt;&gt;1)</xm:f>
            <x14:dxf>
              <fill>
                <patternFill patternType="solid">
                  <bgColor rgb="FFFFE4D6"/>
                </patternFill>
              </fill>
            </x14:dxf>
          </x14:cfRule>
          <xm:sqref>B2:B236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100-000002000000}">
          <x14:formula1>
            <xm:f>Sessions!$A$2:$A$21</xm:f>
          </x14:formula1>
          <xm:sqref>I2:I236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21"/>
  <sheetViews>
    <sheetView showGridLines="0" workbookViewId="0">
      <selection activeCell="D3" sqref="D3"/>
    </sheetView>
  </sheetViews>
  <sheetFormatPr defaultRowHeight="14.25"/>
  <cols>
    <col min="1" max="1" width="30" customWidth="1"/>
    <col min="2" max="2" width="19" customWidth="1"/>
    <col min="3" max="4" width="25" customWidth="1"/>
    <col min="5" max="6" width="23" customWidth="1"/>
    <col min="7" max="7" width="19" customWidth="1"/>
    <col min="8" max="21" width="15" customWidth="1"/>
    <col min="22" max="22" width="19" customWidth="1"/>
    <col min="23" max="23" width="60" customWidth="1"/>
  </cols>
  <sheetData>
    <row r="1" spans="1:23" ht="57.95" customHeight="1">
      <c r="A1" s="2" t="s">
        <v>53</v>
      </c>
      <c r="B1" s="2" t="s">
        <v>61</v>
      </c>
      <c r="C1" s="2" t="s">
        <v>62</v>
      </c>
      <c r="D1" s="2" t="s">
        <v>63</v>
      </c>
      <c r="E1" s="2" t="s">
        <v>64</v>
      </c>
      <c r="F1" s="2" t="s">
        <v>52</v>
      </c>
      <c r="G1" s="2" t="s">
        <v>65</v>
      </c>
      <c r="H1" s="2" t="s">
        <v>66</v>
      </c>
      <c r="I1" s="2" t="s">
        <v>67</v>
      </c>
      <c r="J1" s="2" t="s">
        <v>68</v>
      </c>
      <c r="K1" s="2" t="s">
        <v>69</v>
      </c>
      <c r="L1" s="2" t="s">
        <v>70</v>
      </c>
      <c r="M1" s="2" t="s">
        <v>71</v>
      </c>
      <c r="N1" s="2" t="s">
        <v>72</v>
      </c>
      <c r="O1" s="2" t="s">
        <v>73</v>
      </c>
      <c r="P1" s="2" t="s">
        <v>74</v>
      </c>
      <c r="Q1" s="2" t="s">
        <v>75</v>
      </c>
      <c r="R1" s="2" t="s">
        <v>76</v>
      </c>
      <c r="S1" s="2" t="s">
        <v>77</v>
      </c>
      <c r="T1" s="2" t="s">
        <v>78</v>
      </c>
      <c r="U1" s="2" t="s">
        <v>79</v>
      </c>
      <c r="V1" s="2" t="s">
        <v>80</v>
      </c>
      <c r="W1" s="2" t="s">
        <v>60</v>
      </c>
    </row>
    <row r="2" spans="1:23" ht="101.25" customHeight="1">
      <c r="A2" s="4">
        <v>1</v>
      </c>
      <c r="B2" s="10">
        <v>46268</v>
      </c>
      <c r="C2" s="11" t="s">
        <v>81</v>
      </c>
      <c r="D2" s="11" t="s">
        <v>84</v>
      </c>
      <c r="E2" s="3" t="str">
        <f>IF(A2="","",Start!$B$15)</f>
        <v>Timmy D. Bell</v>
      </c>
      <c r="F2" s="3" t="str">
        <f>IF(A2="","",Start!$B$16)</f>
        <v>B24254849</v>
      </c>
      <c r="G2" s="7">
        <f>IF(A2="","",Start!$B$17)</f>
        <v>1.0000024000000001</v>
      </c>
      <c r="H2" s="6">
        <v>1</v>
      </c>
      <c r="I2" s="6">
        <v>1</v>
      </c>
      <c r="J2" s="6">
        <v>1</v>
      </c>
      <c r="K2" s="6">
        <v>1</v>
      </c>
      <c r="L2" s="6">
        <v>1</v>
      </c>
      <c r="M2" s="7">
        <f>IF(COUNT(H2:L2)=Start!$B$22,AVERAGE(H2:L2),"")</f>
        <v>1</v>
      </c>
      <c r="N2" s="7">
        <f>IF(COUNT(H2:L2)=Start!$B$22,MAX(H2:L2)-MIN(H2:L2),"")</f>
        <v>0</v>
      </c>
      <c r="O2" s="6">
        <v>1</v>
      </c>
      <c r="P2" s="6">
        <v>1</v>
      </c>
      <c r="Q2" s="6">
        <v>1</v>
      </c>
      <c r="R2" s="6">
        <v>1</v>
      </c>
      <c r="S2" s="6">
        <v>1</v>
      </c>
      <c r="T2" s="7">
        <f>IF(COUNT(O2:S2)=Start!$B$22,AVERAGE(O2:S2),"")</f>
        <v>1</v>
      </c>
      <c r="U2" s="7">
        <f>IF(COUNT(O2:S2)=Start!$B$22,MAX(O2:S2)-MIN(O2:S2),"")</f>
        <v>0</v>
      </c>
      <c r="V2" s="4"/>
      <c r="W2" s="14" t="s">
        <v>83</v>
      </c>
    </row>
    <row r="3" spans="1:23" ht="23.1" customHeight="1">
      <c r="A3" s="4"/>
      <c r="B3" s="10"/>
      <c r="C3" s="11"/>
      <c r="D3" s="11"/>
      <c r="E3" s="3" t="str">
        <f>IF(A3="","",Start!$B$15)</f>
        <v/>
      </c>
      <c r="F3" s="3" t="str">
        <f>IF(A3="","",Start!$B$16)</f>
        <v/>
      </c>
      <c r="G3" s="7" t="str">
        <f>IF(A3="","",Start!$B$17)</f>
        <v/>
      </c>
      <c r="H3" s="6"/>
      <c r="I3" s="6"/>
      <c r="J3" s="6"/>
      <c r="K3" s="6"/>
      <c r="L3" s="6"/>
      <c r="M3" s="7" t="str">
        <f>IF(COUNT(H3:L3)=Start!$B$22,AVERAGE(H3:L3),"")</f>
        <v/>
      </c>
      <c r="N3" s="7" t="str">
        <f>IF(COUNT(H3:L3)=Start!$B$22,MAX(H3:L3)-MIN(H3:L3),"")</f>
        <v/>
      </c>
      <c r="O3" s="6"/>
      <c r="P3" s="6"/>
      <c r="Q3" s="6"/>
      <c r="R3" s="6"/>
      <c r="S3" s="6"/>
      <c r="T3" s="7" t="str">
        <f>IF(COUNT(O3:S3)=Start!$B$22,AVERAGE(O3:S3),"")</f>
        <v/>
      </c>
      <c r="U3" s="7" t="str">
        <f>IF(COUNT(O3:S3)=Start!$B$22,MAX(O3:S3)-MIN(O3:S3),"")</f>
        <v/>
      </c>
      <c r="V3" s="4"/>
      <c r="W3" s="4"/>
    </row>
    <row r="4" spans="1:23" ht="23.1" customHeight="1">
      <c r="A4" s="4"/>
      <c r="B4" s="10"/>
      <c r="C4" s="11"/>
      <c r="D4" s="11"/>
      <c r="E4" s="3" t="str">
        <f>IF(A4="","",Start!$B$15)</f>
        <v/>
      </c>
      <c r="F4" s="3" t="str">
        <f>IF(A4="","",Start!$B$16)</f>
        <v/>
      </c>
      <c r="G4" s="7" t="str">
        <f>IF(A4="","",Start!$B$17)</f>
        <v/>
      </c>
      <c r="H4" s="6"/>
      <c r="I4" s="6"/>
      <c r="J4" s="6"/>
      <c r="K4" s="6"/>
      <c r="L4" s="6"/>
      <c r="M4" s="7" t="str">
        <f>IF(COUNT(H4:L4)=Start!$B$22,AVERAGE(H4:L4),"")</f>
        <v/>
      </c>
      <c r="N4" s="7" t="str">
        <f>IF(COUNT(H4:L4)=Start!$B$22,MAX(H4:L4)-MIN(H4:L4),"")</f>
        <v/>
      </c>
      <c r="O4" s="6"/>
      <c r="P4" s="6"/>
      <c r="Q4" s="6"/>
      <c r="R4" s="6"/>
      <c r="S4" s="6"/>
      <c r="T4" s="7" t="str">
        <f>IF(COUNT(O4:S4)=Start!$B$22,AVERAGE(O4:S4),"")</f>
        <v/>
      </c>
      <c r="U4" s="7" t="str">
        <f>IF(COUNT(O4:S4)=Start!$B$22,MAX(O4:S4)-MIN(O4:S4),"")</f>
        <v/>
      </c>
      <c r="V4" s="4"/>
      <c r="W4" s="4"/>
    </row>
    <row r="5" spans="1:23" ht="23.1" customHeight="1">
      <c r="A5" s="4"/>
      <c r="B5" s="10"/>
      <c r="C5" s="11"/>
      <c r="D5" s="11"/>
      <c r="E5" s="3" t="str">
        <f>IF(A5="","",Start!$B$15)</f>
        <v/>
      </c>
      <c r="F5" s="3" t="str">
        <f>IF(A5="","",Start!$B$16)</f>
        <v/>
      </c>
      <c r="G5" s="7" t="str">
        <f>IF(A5="","",Start!$B$17)</f>
        <v/>
      </c>
      <c r="H5" s="6"/>
      <c r="I5" s="6"/>
      <c r="J5" s="6"/>
      <c r="K5" s="6"/>
      <c r="L5" s="6"/>
      <c r="M5" s="7" t="str">
        <f>IF(COUNT(H5:L5)=Start!$B$22,AVERAGE(H5:L5),"")</f>
        <v/>
      </c>
      <c r="N5" s="7" t="str">
        <f>IF(COUNT(H5:L5)=Start!$B$22,MAX(H5:L5)-MIN(H5:L5),"")</f>
        <v/>
      </c>
      <c r="O5" s="6"/>
      <c r="P5" s="6"/>
      <c r="Q5" s="6"/>
      <c r="R5" s="6"/>
      <c r="S5" s="6"/>
      <c r="T5" s="7" t="str">
        <f>IF(COUNT(O5:S5)=Start!$B$22,AVERAGE(O5:S5),"")</f>
        <v/>
      </c>
      <c r="U5" s="7" t="str">
        <f>IF(COUNT(O5:S5)=Start!$B$22,MAX(O5:S5)-MIN(O5:S5),"")</f>
        <v/>
      </c>
      <c r="V5" s="4"/>
      <c r="W5" s="4"/>
    </row>
    <row r="6" spans="1:23" ht="23.1" customHeight="1">
      <c r="A6" s="4"/>
      <c r="B6" s="10"/>
      <c r="C6" s="11"/>
      <c r="D6" s="11"/>
      <c r="E6" s="3" t="str">
        <f>IF(A6="","",Start!$B$15)</f>
        <v/>
      </c>
      <c r="F6" s="3" t="str">
        <f>IF(A6="","",Start!$B$16)</f>
        <v/>
      </c>
      <c r="G6" s="7" t="str">
        <f>IF(A6="","",Start!$B$17)</f>
        <v/>
      </c>
      <c r="H6" s="6"/>
      <c r="I6" s="6"/>
      <c r="J6" s="6"/>
      <c r="K6" s="6"/>
      <c r="L6" s="6"/>
      <c r="M6" s="7" t="str">
        <f>IF(COUNT(H6:L6)=Start!$B$22,AVERAGE(H6:L6),"")</f>
        <v/>
      </c>
      <c r="N6" s="7" t="str">
        <f>IF(COUNT(H6:L6)=Start!$B$22,MAX(H6:L6)-MIN(H6:L6),"")</f>
        <v/>
      </c>
      <c r="O6" s="6"/>
      <c r="P6" s="6"/>
      <c r="Q6" s="6"/>
      <c r="R6" s="6"/>
      <c r="S6" s="6"/>
      <c r="T6" s="7" t="str">
        <f>IF(COUNT(O6:S6)=Start!$B$22,AVERAGE(O6:S6),"")</f>
        <v/>
      </c>
      <c r="U6" s="7" t="str">
        <f>IF(COUNT(O6:S6)=Start!$B$22,MAX(O6:S6)-MIN(O6:S6),"")</f>
        <v/>
      </c>
      <c r="V6" s="4"/>
      <c r="W6" s="4"/>
    </row>
    <row r="7" spans="1:23" ht="23.1" customHeight="1">
      <c r="A7" s="4"/>
      <c r="B7" s="10"/>
      <c r="C7" s="11"/>
      <c r="D7" s="11"/>
      <c r="E7" s="3" t="str">
        <f>IF(A7="","",Start!$B$15)</f>
        <v/>
      </c>
      <c r="F7" s="3" t="str">
        <f>IF(A7="","",Start!$B$16)</f>
        <v/>
      </c>
      <c r="G7" s="7" t="str">
        <f>IF(A7="","",Start!$B$17)</f>
        <v/>
      </c>
      <c r="H7" s="6"/>
      <c r="I7" s="6"/>
      <c r="J7" s="6"/>
      <c r="K7" s="6"/>
      <c r="L7" s="6"/>
      <c r="M7" s="7" t="str">
        <f>IF(COUNT(H7:L7)=Start!$B$22,AVERAGE(H7:L7),"")</f>
        <v/>
      </c>
      <c r="N7" s="7" t="str">
        <f>IF(COUNT(H7:L7)=Start!$B$22,MAX(H7:L7)-MIN(H7:L7),"")</f>
        <v/>
      </c>
      <c r="O7" s="6"/>
      <c r="P7" s="6"/>
      <c r="Q7" s="6"/>
      <c r="R7" s="6"/>
      <c r="S7" s="6"/>
      <c r="T7" s="7" t="str">
        <f>IF(COUNT(O7:S7)=Start!$B$22,AVERAGE(O7:S7),"")</f>
        <v/>
      </c>
      <c r="U7" s="7" t="str">
        <f>IF(COUNT(O7:S7)=Start!$B$22,MAX(O7:S7)-MIN(O7:S7),"")</f>
        <v/>
      </c>
      <c r="V7" s="4"/>
      <c r="W7" s="4"/>
    </row>
    <row r="8" spans="1:23" ht="23.1" customHeight="1">
      <c r="A8" s="4"/>
      <c r="B8" s="10"/>
      <c r="C8" s="11"/>
      <c r="D8" s="11"/>
      <c r="E8" s="3" t="str">
        <f>IF(A8="","",Start!$B$15)</f>
        <v/>
      </c>
      <c r="F8" s="3" t="str">
        <f>IF(A8="","",Start!$B$16)</f>
        <v/>
      </c>
      <c r="G8" s="7" t="str">
        <f>IF(A8="","",Start!$B$17)</f>
        <v/>
      </c>
      <c r="H8" s="6"/>
      <c r="I8" s="6"/>
      <c r="J8" s="6"/>
      <c r="K8" s="6"/>
      <c r="L8" s="6"/>
      <c r="M8" s="7" t="str">
        <f>IF(COUNT(H8:L8)=Start!$B$22,AVERAGE(H8:L8),"")</f>
        <v/>
      </c>
      <c r="N8" s="7" t="str">
        <f>IF(COUNT(H8:L8)=Start!$B$22,MAX(H8:L8)-MIN(H8:L8),"")</f>
        <v/>
      </c>
      <c r="O8" s="6"/>
      <c r="P8" s="6"/>
      <c r="Q8" s="6"/>
      <c r="R8" s="6"/>
      <c r="S8" s="6"/>
      <c r="T8" s="7" t="str">
        <f>IF(COUNT(O8:S8)=Start!$B$22,AVERAGE(O8:S8),"")</f>
        <v/>
      </c>
      <c r="U8" s="7" t="str">
        <f>IF(COUNT(O8:S8)=Start!$B$22,MAX(O8:S8)-MIN(O8:S8),"")</f>
        <v/>
      </c>
      <c r="V8" s="4"/>
      <c r="W8" s="4"/>
    </row>
    <row r="9" spans="1:23" ht="23.1" customHeight="1">
      <c r="A9" s="4"/>
      <c r="B9" s="10"/>
      <c r="C9" s="11"/>
      <c r="D9" s="11"/>
      <c r="E9" s="3" t="str">
        <f>IF(A9="","",Start!$B$15)</f>
        <v/>
      </c>
      <c r="F9" s="3" t="str">
        <f>IF(A9="","",Start!$B$16)</f>
        <v/>
      </c>
      <c r="G9" s="7" t="str">
        <f>IF(A9="","",Start!$B$17)</f>
        <v/>
      </c>
      <c r="H9" s="6"/>
      <c r="I9" s="6"/>
      <c r="J9" s="6"/>
      <c r="K9" s="6"/>
      <c r="L9" s="6"/>
      <c r="M9" s="7" t="str">
        <f>IF(COUNT(H9:L9)=Start!$B$22,AVERAGE(H9:L9),"")</f>
        <v/>
      </c>
      <c r="N9" s="7" t="str">
        <f>IF(COUNT(H9:L9)=Start!$B$22,MAX(H9:L9)-MIN(H9:L9),"")</f>
        <v/>
      </c>
      <c r="O9" s="6"/>
      <c r="P9" s="6"/>
      <c r="Q9" s="6"/>
      <c r="R9" s="6"/>
      <c r="S9" s="6"/>
      <c r="T9" s="7" t="str">
        <f>IF(COUNT(O9:S9)=Start!$B$22,AVERAGE(O9:S9),"")</f>
        <v/>
      </c>
      <c r="U9" s="7" t="str">
        <f>IF(COUNT(O9:S9)=Start!$B$22,MAX(O9:S9)-MIN(O9:S9),"")</f>
        <v/>
      </c>
      <c r="V9" s="4"/>
      <c r="W9" s="4"/>
    </row>
    <row r="10" spans="1:23" ht="23.1" customHeight="1">
      <c r="A10" s="4"/>
      <c r="B10" s="10"/>
      <c r="C10" s="11"/>
      <c r="D10" s="11"/>
      <c r="E10" s="3" t="str">
        <f>IF(A10="","",Start!$B$15)</f>
        <v/>
      </c>
      <c r="F10" s="3" t="str">
        <f>IF(A10="","",Start!$B$16)</f>
        <v/>
      </c>
      <c r="G10" s="7" t="str">
        <f>IF(A10="","",Start!$B$17)</f>
        <v/>
      </c>
      <c r="H10" s="6"/>
      <c r="I10" s="6"/>
      <c r="J10" s="6"/>
      <c r="K10" s="6"/>
      <c r="L10" s="6"/>
      <c r="M10" s="7" t="str">
        <f>IF(COUNT(H10:L10)=Start!$B$22,AVERAGE(H10:L10),"")</f>
        <v/>
      </c>
      <c r="N10" s="7" t="str">
        <f>IF(COUNT(H10:L10)=Start!$B$22,MAX(H10:L10)-MIN(H10:L10),"")</f>
        <v/>
      </c>
      <c r="O10" s="6"/>
      <c r="P10" s="6"/>
      <c r="Q10" s="6"/>
      <c r="R10" s="6"/>
      <c r="S10" s="6"/>
      <c r="T10" s="7" t="str">
        <f>IF(COUNT(O10:S10)=Start!$B$22,AVERAGE(O10:S10),"")</f>
        <v/>
      </c>
      <c r="U10" s="7" t="str">
        <f>IF(COUNT(O10:S10)=Start!$B$22,MAX(O10:S10)-MIN(O10:S10),"")</f>
        <v/>
      </c>
      <c r="V10" s="4"/>
      <c r="W10" s="4"/>
    </row>
    <row r="11" spans="1:23" ht="23.1" customHeight="1">
      <c r="A11" s="4"/>
      <c r="B11" s="10"/>
      <c r="C11" s="11"/>
      <c r="D11" s="11"/>
      <c r="E11" s="3" t="str">
        <f>IF(A11="","",Start!$B$15)</f>
        <v/>
      </c>
      <c r="F11" s="3" t="str">
        <f>IF(A11="","",Start!$B$16)</f>
        <v/>
      </c>
      <c r="G11" s="7" t="str">
        <f>IF(A11="","",Start!$B$17)</f>
        <v/>
      </c>
      <c r="H11" s="6"/>
      <c r="I11" s="6"/>
      <c r="J11" s="6"/>
      <c r="K11" s="6"/>
      <c r="L11" s="6"/>
      <c r="M11" s="7" t="str">
        <f>IF(COUNT(H11:L11)=Start!$B$22,AVERAGE(H11:L11),"")</f>
        <v/>
      </c>
      <c r="N11" s="7" t="str">
        <f>IF(COUNT(H11:L11)=Start!$B$22,MAX(H11:L11)-MIN(H11:L11),"")</f>
        <v/>
      </c>
      <c r="O11" s="6"/>
      <c r="P11" s="6"/>
      <c r="Q11" s="6"/>
      <c r="R11" s="6"/>
      <c r="S11" s="6"/>
      <c r="T11" s="7" t="str">
        <f>IF(COUNT(O11:S11)=Start!$B$22,AVERAGE(O11:S11),"")</f>
        <v/>
      </c>
      <c r="U11" s="7" t="str">
        <f>IF(COUNT(O11:S11)=Start!$B$22,MAX(O11:S11)-MIN(O11:S11),"")</f>
        <v/>
      </c>
      <c r="V11" s="4"/>
      <c r="W11" s="4"/>
    </row>
    <row r="12" spans="1:23" ht="23.1" customHeight="1">
      <c r="A12" s="4"/>
      <c r="B12" s="10"/>
      <c r="C12" s="11"/>
      <c r="D12" s="11"/>
      <c r="E12" s="3" t="str">
        <f>IF(A12="","",Start!$B$15)</f>
        <v/>
      </c>
      <c r="F12" s="3" t="str">
        <f>IF(A12="","",Start!$B$16)</f>
        <v/>
      </c>
      <c r="G12" s="7" t="str">
        <f>IF(A12="","",Start!$B$17)</f>
        <v/>
      </c>
      <c r="H12" s="6"/>
      <c r="I12" s="6"/>
      <c r="J12" s="6"/>
      <c r="K12" s="6"/>
      <c r="L12" s="6"/>
      <c r="M12" s="7" t="str">
        <f>IF(COUNT(H12:L12)=Start!$B$22,AVERAGE(H12:L12),"")</f>
        <v/>
      </c>
      <c r="N12" s="7" t="str">
        <f>IF(COUNT(H12:L12)=Start!$B$22,MAX(H12:L12)-MIN(H12:L12),"")</f>
        <v/>
      </c>
      <c r="O12" s="6"/>
      <c r="P12" s="6"/>
      <c r="Q12" s="6"/>
      <c r="R12" s="6"/>
      <c r="S12" s="6"/>
      <c r="T12" s="7" t="str">
        <f>IF(COUNT(O12:S12)=Start!$B$22,AVERAGE(O12:S12),"")</f>
        <v/>
      </c>
      <c r="U12" s="7" t="str">
        <f>IF(COUNT(O12:S12)=Start!$B$22,MAX(O12:S12)-MIN(O12:S12),"")</f>
        <v/>
      </c>
      <c r="V12" s="4"/>
      <c r="W12" s="4"/>
    </row>
    <row r="13" spans="1:23" ht="23.1" customHeight="1">
      <c r="A13" s="4"/>
      <c r="B13" s="10"/>
      <c r="C13" s="11"/>
      <c r="D13" s="11"/>
      <c r="E13" s="3" t="str">
        <f>IF(A13="","",Start!$B$15)</f>
        <v/>
      </c>
      <c r="F13" s="3" t="str">
        <f>IF(A13="","",Start!$B$16)</f>
        <v/>
      </c>
      <c r="G13" s="7" t="str">
        <f>IF(A13="","",Start!$B$17)</f>
        <v/>
      </c>
      <c r="H13" s="6"/>
      <c r="I13" s="6"/>
      <c r="J13" s="6"/>
      <c r="K13" s="6"/>
      <c r="L13" s="6"/>
      <c r="M13" s="7" t="str">
        <f>IF(COUNT(H13:L13)=Start!$B$22,AVERAGE(H13:L13),"")</f>
        <v/>
      </c>
      <c r="N13" s="7" t="str">
        <f>IF(COUNT(H13:L13)=Start!$B$22,MAX(H13:L13)-MIN(H13:L13),"")</f>
        <v/>
      </c>
      <c r="O13" s="6"/>
      <c r="P13" s="6"/>
      <c r="Q13" s="6"/>
      <c r="R13" s="6"/>
      <c r="S13" s="6"/>
      <c r="T13" s="7" t="str">
        <f>IF(COUNT(O13:S13)=Start!$B$22,AVERAGE(O13:S13),"")</f>
        <v/>
      </c>
      <c r="U13" s="7" t="str">
        <f>IF(COUNT(O13:S13)=Start!$B$22,MAX(O13:S13)-MIN(O13:S13),"")</f>
        <v/>
      </c>
      <c r="V13" s="4"/>
      <c r="W13" s="4"/>
    </row>
    <row r="14" spans="1:23" ht="23.1" customHeight="1">
      <c r="A14" s="4"/>
      <c r="B14" s="10"/>
      <c r="C14" s="11"/>
      <c r="D14" s="11"/>
      <c r="E14" s="3" t="str">
        <f>IF(A14="","",Start!$B$15)</f>
        <v/>
      </c>
      <c r="F14" s="3" t="str">
        <f>IF(A14="","",Start!$B$16)</f>
        <v/>
      </c>
      <c r="G14" s="7" t="str">
        <f>IF(A14="","",Start!$B$17)</f>
        <v/>
      </c>
      <c r="H14" s="6"/>
      <c r="I14" s="6"/>
      <c r="J14" s="6"/>
      <c r="K14" s="6"/>
      <c r="L14" s="6"/>
      <c r="M14" s="7" t="str">
        <f>IF(COUNT(H14:L14)=Start!$B$22,AVERAGE(H14:L14),"")</f>
        <v/>
      </c>
      <c r="N14" s="7" t="str">
        <f>IF(COUNT(H14:L14)=Start!$B$22,MAX(H14:L14)-MIN(H14:L14),"")</f>
        <v/>
      </c>
      <c r="O14" s="6"/>
      <c r="P14" s="6"/>
      <c r="Q14" s="6"/>
      <c r="R14" s="6"/>
      <c r="S14" s="6"/>
      <c r="T14" s="7" t="str">
        <f>IF(COUNT(O14:S14)=Start!$B$22,AVERAGE(O14:S14),"")</f>
        <v/>
      </c>
      <c r="U14" s="7" t="str">
        <f>IF(COUNT(O14:S14)=Start!$B$22,MAX(O14:S14)-MIN(O14:S14),"")</f>
        <v/>
      </c>
      <c r="V14" s="4"/>
      <c r="W14" s="4"/>
    </row>
    <row r="15" spans="1:23" ht="23.1" customHeight="1">
      <c r="A15" s="4"/>
      <c r="B15" s="10"/>
      <c r="C15" s="11"/>
      <c r="D15" s="11"/>
      <c r="E15" s="3" t="str">
        <f>IF(A15="","",Start!$B$15)</f>
        <v/>
      </c>
      <c r="F15" s="3" t="str">
        <f>IF(A15="","",Start!$B$16)</f>
        <v/>
      </c>
      <c r="G15" s="7" t="str">
        <f>IF(A15="","",Start!$B$17)</f>
        <v/>
      </c>
      <c r="H15" s="6"/>
      <c r="I15" s="6"/>
      <c r="J15" s="6"/>
      <c r="K15" s="6"/>
      <c r="L15" s="6"/>
      <c r="M15" s="7" t="str">
        <f>IF(COUNT(H15:L15)=Start!$B$22,AVERAGE(H15:L15),"")</f>
        <v/>
      </c>
      <c r="N15" s="7" t="str">
        <f>IF(COUNT(H15:L15)=Start!$B$22,MAX(H15:L15)-MIN(H15:L15),"")</f>
        <v/>
      </c>
      <c r="O15" s="6"/>
      <c r="P15" s="6"/>
      <c r="Q15" s="6"/>
      <c r="R15" s="6"/>
      <c r="S15" s="6"/>
      <c r="T15" s="7" t="str">
        <f>IF(COUNT(O15:S15)=Start!$B$22,AVERAGE(O15:S15),"")</f>
        <v/>
      </c>
      <c r="U15" s="7" t="str">
        <f>IF(COUNT(O15:S15)=Start!$B$22,MAX(O15:S15)-MIN(O15:S15),"")</f>
        <v/>
      </c>
      <c r="V15" s="4"/>
      <c r="W15" s="4"/>
    </row>
    <row r="16" spans="1:23" ht="23.1" customHeight="1">
      <c r="A16" s="4"/>
      <c r="B16" s="10"/>
      <c r="C16" s="11"/>
      <c r="D16" s="11"/>
      <c r="E16" s="3" t="str">
        <f>IF(A16="","",Start!$B$15)</f>
        <v/>
      </c>
      <c r="F16" s="3" t="str">
        <f>IF(A16="","",Start!$B$16)</f>
        <v/>
      </c>
      <c r="G16" s="7" t="str">
        <f>IF(A16="","",Start!$B$17)</f>
        <v/>
      </c>
      <c r="H16" s="6"/>
      <c r="I16" s="6"/>
      <c r="J16" s="6"/>
      <c r="K16" s="6"/>
      <c r="L16" s="6"/>
      <c r="M16" s="7" t="str">
        <f>IF(COUNT(H16:L16)=Start!$B$22,AVERAGE(H16:L16),"")</f>
        <v/>
      </c>
      <c r="N16" s="7" t="str">
        <f>IF(COUNT(H16:L16)=Start!$B$22,MAX(H16:L16)-MIN(H16:L16),"")</f>
        <v/>
      </c>
      <c r="O16" s="6"/>
      <c r="P16" s="6"/>
      <c r="Q16" s="6"/>
      <c r="R16" s="6"/>
      <c r="S16" s="6"/>
      <c r="T16" s="7" t="str">
        <f>IF(COUNT(O16:S16)=Start!$B$22,AVERAGE(O16:S16),"")</f>
        <v/>
      </c>
      <c r="U16" s="7" t="str">
        <f>IF(COUNT(O16:S16)=Start!$B$22,MAX(O16:S16)-MIN(O16:S16),"")</f>
        <v/>
      </c>
      <c r="V16" s="4"/>
      <c r="W16" s="4"/>
    </row>
    <row r="17" spans="1:23" ht="23.1" customHeight="1">
      <c r="A17" s="4"/>
      <c r="B17" s="10"/>
      <c r="C17" s="11"/>
      <c r="D17" s="11"/>
      <c r="E17" s="3" t="str">
        <f>IF(A17="","",Start!$B$15)</f>
        <v/>
      </c>
      <c r="F17" s="3" t="str">
        <f>IF(A17="","",Start!$B$16)</f>
        <v/>
      </c>
      <c r="G17" s="7" t="str">
        <f>IF(A17="","",Start!$B$17)</f>
        <v/>
      </c>
      <c r="H17" s="6"/>
      <c r="I17" s="6"/>
      <c r="J17" s="6"/>
      <c r="K17" s="6"/>
      <c r="L17" s="6"/>
      <c r="M17" s="7" t="str">
        <f>IF(COUNT(H17:L17)=Start!$B$22,AVERAGE(H17:L17),"")</f>
        <v/>
      </c>
      <c r="N17" s="7" t="str">
        <f>IF(COUNT(H17:L17)=Start!$B$22,MAX(H17:L17)-MIN(H17:L17),"")</f>
        <v/>
      </c>
      <c r="O17" s="6"/>
      <c r="P17" s="6"/>
      <c r="Q17" s="6"/>
      <c r="R17" s="6"/>
      <c r="S17" s="6"/>
      <c r="T17" s="7" t="str">
        <f>IF(COUNT(O17:S17)=Start!$B$22,AVERAGE(O17:S17),"")</f>
        <v/>
      </c>
      <c r="U17" s="7" t="str">
        <f>IF(COUNT(O17:S17)=Start!$B$22,MAX(O17:S17)-MIN(O17:S17),"")</f>
        <v/>
      </c>
      <c r="V17" s="4"/>
      <c r="W17" s="4"/>
    </row>
    <row r="18" spans="1:23" ht="23.1" customHeight="1">
      <c r="A18" s="4"/>
      <c r="B18" s="10"/>
      <c r="C18" s="11"/>
      <c r="D18" s="11"/>
      <c r="E18" s="3" t="str">
        <f>IF(A18="","",Start!$B$15)</f>
        <v/>
      </c>
      <c r="F18" s="3" t="str">
        <f>IF(A18="","",Start!$B$16)</f>
        <v/>
      </c>
      <c r="G18" s="7" t="str">
        <f>IF(A18="","",Start!$B$17)</f>
        <v/>
      </c>
      <c r="H18" s="6"/>
      <c r="I18" s="6"/>
      <c r="J18" s="6"/>
      <c r="K18" s="6"/>
      <c r="L18" s="6"/>
      <c r="M18" s="7" t="str">
        <f>IF(COUNT(H18:L18)=Start!$B$22,AVERAGE(H18:L18),"")</f>
        <v/>
      </c>
      <c r="N18" s="7" t="str">
        <f>IF(COUNT(H18:L18)=Start!$B$22,MAX(H18:L18)-MIN(H18:L18),"")</f>
        <v/>
      </c>
      <c r="O18" s="6"/>
      <c r="P18" s="6"/>
      <c r="Q18" s="6"/>
      <c r="R18" s="6"/>
      <c r="S18" s="6"/>
      <c r="T18" s="7" t="str">
        <f>IF(COUNT(O18:S18)=Start!$B$22,AVERAGE(O18:S18),"")</f>
        <v/>
      </c>
      <c r="U18" s="7" t="str">
        <f>IF(COUNT(O18:S18)=Start!$B$22,MAX(O18:S18)-MIN(O18:S18),"")</f>
        <v/>
      </c>
      <c r="V18" s="4"/>
      <c r="W18" s="4"/>
    </row>
    <row r="19" spans="1:23" ht="23.1" customHeight="1">
      <c r="A19" s="4"/>
      <c r="B19" s="10"/>
      <c r="C19" s="11"/>
      <c r="D19" s="11"/>
      <c r="E19" s="3" t="str">
        <f>IF(A19="","",Start!$B$15)</f>
        <v/>
      </c>
      <c r="F19" s="3" t="str">
        <f>IF(A19="","",Start!$B$16)</f>
        <v/>
      </c>
      <c r="G19" s="7" t="str">
        <f>IF(A19="","",Start!$B$17)</f>
        <v/>
      </c>
      <c r="H19" s="6"/>
      <c r="I19" s="6"/>
      <c r="J19" s="6"/>
      <c r="K19" s="6"/>
      <c r="L19" s="6"/>
      <c r="M19" s="7" t="str">
        <f>IF(COUNT(H19:L19)=Start!$B$22,AVERAGE(H19:L19),"")</f>
        <v/>
      </c>
      <c r="N19" s="7" t="str">
        <f>IF(COUNT(H19:L19)=Start!$B$22,MAX(H19:L19)-MIN(H19:L19),"")</f>
        <v/>
      </c>
      <c r="O19" s="6"/>
      <c r="P19" s="6"/>
      <c r="Q19" s="6"/>
      <c r="R19" s="6"/>
      <c r="S19" s="6"/>
      <c r="T19" s="7" t="str">
        <f>IF(COUNT(O19:S19)=Start!$B$22,AVERAGE(O19:S19),"")</f>
        <v/>
      </c>
      <c r="U19" s="7" t="str">
        <f>IF(COUNT(O19:S19)=Start!$B$22,MAX(O19:S19)-MIN(O19:S19),"")</f>
        <v/>
      </c>
      <c r="V19" s="4"/>
      <c r="W19" s="4"/>
    </row>
    <row r="20" spans="1:23" ht="23.1" customHeight="1">
      <c r="A20" s="4"/>
      <c r="B20" s="10"/>
      <c r="C20" s="11"/>
      <c r="D20" s="11"/>
      <c r="E20" s="3" t="str">
        <f>IF(A20="","",Start!$B$15)</f>
        <v/>
      </c>
      <c r="F20" s="3" t="str">
        <f>IF(A20="","",Start!$B$16)</f>
        <v/>
      </c>
      <c r="G20" s="7" t="str">
        <f>IF(A20="","",Start!$B$17)</f>
        <v/>
      </c>
      <c r="H20" s="6"/>
      <c r="I20" s="6"/>
      <c r="J20" s="6"/>
      <c r="K20" s="6"/>
      <c r="L20" s="6"/>
      <c r="M20" s="7" t="str">
        <f>IF(COUNT(H20:L20)=Start!$B$22,AVERAGE(H20:L20),"")</f>
        <v/>
      </c>
      <c r="N20" s="7" t="str">
        <f>IF(COUNT(H20:L20)=Start!$B$22,MAX(H20:L20)-MIN(H20:L20),"")</f>
        <v/>
      </c>
      <c r="O20" s="6"/>
      <c r="P20" s="6"/>
      <c r="Q20" s="6"/>
      <c r="R20" s="6"/>
      <c r="S20" s="6"/>
      <c r="T20" s="7" t="str">
        <f>IF(COUNT(O20:S20)=Start!$B$22,AVERAGE(O20:S20),"")</f>
        <v/>
      </c>
      <c r="U20" s="7" t="str">
        <f>IF(COUNT(O20:S20)=Start!$B$22,MAX(O20:S20)-MIN(O20:S20),"")</f>
        <v/>
      </c>
      <c r="V20" s="4"/>
      <c r="W20" s="4"/>
    </row>
    <row r="21" spans="1:23" ht="23.1" customHeight="1">
      <c r="A21" s="4"/>
      <c r="B21" s="10"/>
      <c r="C21" s="11"/>
      <c r="D21" s="11"/>
      <c r="E21" s="3" t="str">
        <f>IF(A21="","",Start!$B$15)</f>
        <v/>
      </c>
      <c r="F21" s="3" t="str">
        <f>IF(A21="","",Start!$B$16)</f>
        <v/>
      </c>
      <c r="G21" s="7" t="str">
        <f>IF(A21="","",Start!$B$17)</f>
        <v/>
      </c>
      <c r="H21" s="6"/>
      <c r="I21" s="6"/>
      <c r="J21" s="6"/>
      <c r="K21" s="6"/>
      <c r="L21" s="6"/>
      <c r="M21" s="7" t="str">
        <f>IF(COUNT(H21:L21)=Start!$B$22,AVERAGE(H21:L21),"")</f>
        <v/>
      </c>
      <c r="N21" s="7" t="str">
        <f>IF(COUNT(H21:L21)=Start!$B$22,MAX(H21:L21)-MIN(H21:L21),"")</f>
        <v/>
      </c>
      <c r="O21" s="6"/>
      <c r="P21" s="6"/>
      <c r="Q21" s="6"/>
      <c r="R21" s="6"/>
      <c r="S21" s="6"/>
      <c r="T21" s="7" t="str">
        <f>IF(COUNT(O21:S21)=Start!$B$22,AVERAGE(O21:S21),"")</f>
        <v/>
      </c>
      <c r="U21" s="7" t="str">
        <f>IF(COUNT(O21:S21)=Start!$B$22,MAX(O21:S21)-MIN(O21:S21),"")</f>
        <v/>
      </c>
      <c r="V21" s="4"/>
      <c r="W21" s="4"/>
    </row>
  </sheetData>
  <conditionalFormatting sqref="A2:A21">
    <cfRule type="expression" dxfId="0" priority="1">
      <formula>AND(A2&lt;&gt;"",COUNTIF($A$2:$A$21,A2)&gt;1)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Start</vt:lpstr>
      <vt:lpstr>Screening</vt:lpstr>
      <vt:lpstr>Sessions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TIM BELL</cp:lastModifiedBy>
  <dcterms:modified xsi:type="dcterms:W3CDTF">2026-09-04T00:49:57Z</dcterms:modified>
</cp:coreProperties>
</file>